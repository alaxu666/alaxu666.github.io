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SO Ranking Bubble chart" sheetId="19" r:id="rId1"/>
    <sheet name="过程" sheetId="26" r:id="rId2"/>
  </sheets>
  <definedNames>
    <definedName name="_xlnm._FilterDatabase" localSheetId="0" hidden="1">'XSO Ranking Bubble chart'!$A$4:$O$37</definedName>
    <definedName name="_Order1" hidden="1">255</definedName>
    <definedName name="_Order2" hidden="1">255</definedName>
    <definedName name="Access_Button" hidden="1">"tpds0409_RAW_DATA_0318_List"</definedName>
    <definedName name="AccessDatabase" hidden="1">"C:\WORK BASE\tpds0409.mdb"</definedName>
    <definedName name="ACON" localSheetId="0" hidden="1">{#N/A,#N/A,TRUE,"일정"}</definedName>
    <definedName name="ACON" localSheetId="1" hidden="1">{#N/A,#N/A,TRUE,"일정"}</definedName>
    <definedName name="ACON" hidden="1">{#N/A,#N/A,TRUE,"일정"}</definedName>
    <definedName name="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NSOL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NSOL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NSOL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urses">#REF!</definedName>
    <definedName name="Employees" localSheetId="1">#REF!</definedName>
    <definedName name="Employees">#REF!</definedName>
    <definedName name="EURO3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HTML_CodePage" hidden="1">1252</definedName>
    <definedName name="HTML_Control" localSheetId="0" hidden="1">{"'Sheet1'!$A$1:$M$38"}</definedName>
    <definedName name="HTML_Control" localSheetId="1" hidden="1">{"'Sheet1'!$A$1:$M$38"}</definedName>
    <definedName name="HTML_Control" hidden="1">{"'Sheet1'!$A$1:$M$38"}</definedName>
    <definedName name="HTML_Description" hidden="1">""</definedName>
    <definedName name="HTML_Email" hidden="1">""</definedName>
    <definedName name="HTML_Header" hidden="1">""</definedName>
    <definedName name="HTML_LastUpdate" hidden="1">"10/17/00"</definedName>
    <definedName name="HTML_LineAfter" hidden="1">FALSE</definedName>
    <definedName name="HTML_LineBefore" hidden="1">FALSE</definedName>
    <definedName name="HTML_Name" hidden="1">"JCI User"</definedName>
    <definedName name="HTML_OBDlg2" hidden="1">TRUE</definedName>
    <definedName name="HTML_OBDlg4" hidden="1">TRUE</definedName>
    <definedName name="HTML_OS" hidden="1">0</definedName>
    <definedName name="HTML_PathFile" hidden="1">"U:\TEXT\MyHTML.htm"</definedName>
    <definedName name="HTML_Title" hidden="1">"ESOchecklist"</definedName>
    <definedName name="ijfojyo" localSheetId="0" hidden="1">{"'Sheet1'!$A$1:$M$38"}</definedName>
    <definedName name="ijfojyo" localSheetId="1" hidden="1">{"'Sheet1'!$A$1:$M$38"}</definedName>
    <definedName name="ijfojyo" hidden="1">{"'Sheet1'!$A$1:$M$38"}</definedName>
    <definedName name="K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STER" localSheetId="0" hidden="1">{#N/A,#N/A,TRUE,"일정"}</definedName>
    <definedName name="MASTER" localSheetId="1" hidden="1">{#N/A,#N/A,TRUE,"일정"}</definedName>
    <definedName name="MASTER" hidden="1">{#N/A,#N/A,TRUE,"일정"}</definedName>
    <definedName name="_xlnm.Print_Area" localSheetId="1">过程!$A$1:$F$1</definedName>
    <definedName name="_xlnm.Print_Titles" localSheetId="1">过程!$1:$1</definedName>
    <definedName name="Reference" localSheetId="0" hidden="1">{"'Sheet1'!$A$1:$M$38"}</definedName>
    <definedName name="Reference" localSheetId="1" hidden="1">{"'Sheet1'!$A$1:$M$38"}</definedName>
    <definedName name="Reference" hidden="1">{"'Sheet1'!$A$1:$M$38"}</definedName>
    <definedName name="Reference2" localSheetId="0" hidden="1">{"'Sheet1'!$A$1:$M$38"}</definedName>
    <definedName name="Reference2" localSheetId="1" hidden="1">{"'Sheet1'!$A$1:$M$38"}</definedName>
    <definedName name="Reference2" hidden="1">{"'Sheet1'!$A$1:$M$38"}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원가검토서." localSheetId="0" hidden="1">{#N/A,#N/A,FALSE,"원가검토서"}</definedName>
    <definedName name="wrn.원가검토서." localSheetId="1" hidden="1">{#N/A,#N/A,FALSE,"원가검토서"}</definedName>
    <definedName name="wrn.원가검토서." hidden="1">{#N/A,#N/A,FALSE,"원가검토서"}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localSheetId="0" hidden="1">{#N/A,#N/A,TRUE,"일정"}</definedName>
    <definedName name="wrn.주간._.보고." localSheetId="1" hidden="1">{#N/A,#N/A,TRUE,"일정"}</definedName>
    <definedName name="wrn.주간._.보고." hidden="1">{#N/A,#N/A,TRUE,"일정"}</definedName>
    <definedName name="목표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<sst xmlns="http://schemas.openxmlformats.org/spreadsheetml/2006/main" count="129" uniqueCount="112">
  <si>
    <t>Project</t>
  </si>
  <si>
    <t>score</t>
  </si>
  <si>
    <t>gate</t>
  </si>
  <si>
    <t>EQU</t>
  </si>
  <si>
    <t>smartmi,MX11-DAB,Lamination</t>
  </si>
  <si>
    <t>Huawei Anhui,EHV-DP,Lamination</t>
  </si>
  <si>
    <t>SERES Motors,F2N-DAB, Lamination,</t>
  </si>
  <si>
    <t>SERES Motors,F2N10lm-light,assemble</t>
  </si>
  <si>
    <t>smartmi,F2N-light,assemble</t>
  </si>
  <si>
    <t>XPENG,G02顶棚EOL</t>
  </si>
  <si>
    <t>SERES Motors,F2N-light</t>
  </si>
  <si>
    <t>PROJECT</t>
  </si>
  <si>
    <t>PHASE</t>
  </si>
  <si>
    <t>RED ISSUE</t>
  </si>
  <si>
    <t>score:</t>
  </si>
  <si>
    <t>没有红色问题时，第一个黄色问题扣10分，依次累加，超过5个黄色问题不再更新记分</t>
  </si>
  <si>
    <t>第一个红色问题扣60分，第二个红色问题在此基础上再扣10分</t>
  </si>
  <si>
    <t>1个黄色问题</t>
  </si>
  <si>
    <t>2个黄色问题</t>
  </si>
  <si>
    <t>3个黄色问题</t>
  </si>
  <si>
    <t>4个黄色问题</t>
  </si>
  <si>
    <t>5个黄色问题</t>
  </si>
  <si>
    <t>6个黄色问题</t>
  </si>
  <si>
    <t>7个黄色问题</t>
  </si>
  <si>
    <t>8个黄色问题</t>
  </si>
  <si>
    <t>9个黄色问题</t>
  </si>
  <si>
    <t>出现红色问题时，黄色问题不再记分，</t>
  </si>
  <si>
    <t>1个红色问题</t>
  </si>
  <si>
    <t>2个红色问题</t>
  </si>
  <si>
    <t>3个红色问题</t>
  </si>
  <si>
    <t>4个红色问题</t>
  </si>
  <si>
    <t>5个红色问题</t>
  </si>
  <si>
    <t>6个红色问题</t>
  </si>
  <si>
    <t>7个红色问题</t>
  </si>
  <si>
    <t>8个红色问题</t>
  </si>
  <si>
    <t>9个红色问题</t>
  </si>
  <si>
    <t>Date</t>
  </si>
  <si>
    <t>Auditor</t>
  </si>
  <si>
    <t>Project list</t>
  </si>
  <si>
    <t>列2</t>
  </si>
  <si>
    <t>列3</t>
  </si>
  <si>
    <t>Status</t>
  </si>
  <si>
    <t>Responsible</t>
  </si>
  <si>
    <t>Due date</t>
  </si>
  <si>
    <t>列4</t>
  </si>
  <si>
    <t>列1</t>
  </si>
  <si>
    <t>列12</t>
  </si>
  <si>
    <t>Comments</t>
  </si>
  <si>
    <t>Zhao kailiang</t>
  </si>
  <si>
    <t>2025,NA,General Motors,L234-IP RHD,welding</t>
  </si>
  <si>
    <t>General Motors,L234-IP RHD,welding</t>
  </si>
  <si>
    <t>Y</t>
  </si>
  <si>
    <t>Qiu yongxu</t>
  </si>
  <si>
    <t>1.支撑住和底板有4根用于定位，存在过定位，选用对角的两根用于定位
2.电磁阀在两层底板中间安装调试不方便，挪到上侧底板外侧
3.胎膜块配打销孔大小错误，6mm配打销孔应该做5.8不是6mm，8mm配打销孔应该做7.8不是8mm
4.产品主定位高度过低，要求定位段高出产品10mm，且缺少放件导向的倒角</t>
  </si>
  <si>
    <t>2026,NA,VW Group,VW426-IP,Assembling</t>
  </si>
  <si>
    <t>VW Group,VW426-IP,Assembling</t>
  </si>
  <si>
    <t>Gao dawei</t>
  </si>
  <si>
    <t>1.部分装配点下侧没有支撑，需要增加支撑
2.胎膜重量超重，重新校核凸轮分割器，胎膜继续减重
3.部分轮廓限位胎膜块缺少导向，增加倒角
4.有夹紧气缸和胎膜块干涉
5.电磁阀和分气块放在两块底板中间，不容易固定和操作，将电磁阀和分气块挪到外侧或者上侧底板镂空处
6.有clip和胎膜块干涉，没有做避让镂空</t>
  </si>
  <si>
    <t>Lu,Gongchao</t>
  </si>
  <si>
    <t>2025,AP,SERES Motors,F3-CNSL,lamination,240179,M,Equipmen</t>
  </si>
  <si>
    <t>SERES Motors,F3-CNSL,lamination</t>
  </si>
  <si>
    <t>zhao shutai</t>
  </si>
  <si>
    <t xml:space="preserve">1.U型口位置包边复杂，无法用常规水管走水路，建议该项目用耐高温气管代替水管走水（气管弯曲半径较小，市场上注塑模有类似应用案例）
2.胎膜及包边水管未画，真空管未画
</t>
  </si>
  <si>
    <t>2025,AP,smartmi,MX11-DAB,Lamination,240159</t>
  </si>
  <si>
    <t>Huang dongfang</t>
  </si>
  <si>
    <t>包边方案仍需验证，目前有两个方案在验证中：
1.拉伸合模方案：目前验证产品外观无褶皱，但夹皮位置表皮有拉裂（原因：夹皮块边缘过于尖锐），外观面有凸包（3D打印件外观有凸包）；后续验证计划：做 骨架模，表皮模和夹皮压框，但需要费用支持；
2.六角挂针合模方案：类似T6球压工艺的基础上在产品的六个角处设计挂针浮动，球压到中途挂针退回；目前验证结构设计中</t>
  </si>
  <si>
    <t>2025,AP,Volkswagen,VW426-DP,lam&amp;wrap,240151,1T,Equipment</t>
  </si>
  <si>
    <t>Volkswagen,VW426-DP,lam&amp;wrap</t>
  </si>
  <si>
    <t>Fan aiqiang
Yang yicheng
Gong shengchao</t>
  </si>
  <si>
    <t>2024/11/30(PHASE 3)</t>
  </si>
  <si>
    <t>框架降本（需要CAE分析），框架无销钉定位，扫码仪加罩子或者移动到非操作侧，缺管线数据</t>
  </si>
  <si>
    <t>2026,AP,Brilliance-BMW,G78-HUD, lamination, 240195, T,Equipment</t>
  </si>
  <si>
    <t>Brilliance-BMW,G78-HUD, lamination</t>
  </si>
  <si>
    <t>Zhou huasheng</t>
  </si>
  <si>
    <t>1、节拍需要核对（保压时间、包边块进与退的时间）
2、表皮HUD位置和环形孔轮廓定位无，
3、角压块需要重新考虑，目前设计结构有褶皱风险
验证建议：KM建议在上下模中间只用单层灯管加热，灯管通体不镀金箔，实现双面加热的效果。可以节省一层灯管的采购费用。G78产品较平整很适合做这个验证，如果验证可行将来的红外模具都可以大幅节省灯管成本。</t>
  </si>
  <si>
    <t>2026,AP,SVW,VW426 PAB Auto Cell</t>
  </si>
  <si>
    <t>SVW,VW426 PAB Auto Cell</t>
  </si>
  <si>
    <t>Huang dinghui</t>
  </si>
  <si>
    <t>1.校核机器人轨迹离围栏距离是否大于120mm，否则对应位置围栏需要PC板</t>
  </si>
  <si>
    <t>2025,AP,SERES Motors,F3-DP,lamination，240192,M,Equipment</t>
  </si>
  <si>
    <t>SERES Motors,F3-DP,lamination</t>
  </si>
  <si>
    <t>Chen bin</t>
  </si>
  <si>
    <t>1800设备上台面目前设计负载450kg；模具参考一模二的常规包边模具计算，模框重量已经约450kg，模芯+热风/灯管升降结构约60kg，设备设计负载能力不足；对标Frimo426包边机上台面负载约600kg。
审核建议：
1. 1800设备上台面负载加大至500~600KG；
2. 模具模框做轻量化设计减重&lt;450kg；</t>
  </si>
  <si>
    <t>2025,AP,smartmi,MX11,Fixing,240181</t>
  </si>
  <si>
    <t>smartmi,MX11,Fixing</t>
  </si>
  <si>
    <t>Chen yuhang</t>
  </si>
  <si>
    <t>审核建议更改项：
1.涂色错误，配合面涂色错误，螺纹孔未涂色，需按ds要求更改颜色
2.铺皮模真空腔抽气量不足，按箭头位置加进气口
3.缺少激光定线
4.接近开关位置错误</t>
  </si>
  <si>
    <t>30022845;2025,AP,SERES Motors,F3-IP.Vacuum,240182,M,Equipment</t>
  </si>
  <si>
    <t>SERES Motors,F3-IP.Vacuum</t>
  </si>
  <si>
    <t>R</t>
  </si>
  <si>
    <r>
      <rPr>
        <sz val="9"/>
        <color rgb="FFFF0000"/>
        <rFont val="宋体"/>
        <charset val="134"/>
      </rPr>
      <t>安全：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平台设计需符合</t>
    </r>
    <r>
      <rPr>
        <sz val="9"/>
        <color rgb="FFFF0000"/>
        <rFont val="Calibri Light"/>
        <charset val="134"/>
        <scheme val="major"/>
      </rPr>
      <t>GB/T 17888,</t>
    </r>
    <r>
      <rPr>
        <sz val="9"/>
        <color rgb="FFFF0000"/>
        <rFont val="宋体"/>
        <charset val="134"/>
      </rPr>
      <t>已发现可能存在的问题：换模位平台突出部分下方没有斜支撑（平台强度需要模拟或计算），二三层的爬梯未分开，无自回复门，围栏与爬梯间的缝隙过大等等（参考</t>
    </r>
    <r>
      <rPr>
        <sz val="9"/>
        <color rgb="FFFF0000"/>
        <rFont val="Calibri Light"/>
        <charset val="134"/>
        <scheme val="major"/>
      </rPr>
      <t>GB/T 17888.1-4</t>
    </r>
    <r>
      <rPr>
        <sz val="9"/>
        <color rgb="FFFF0000"/>
        <rFont val="宋体"/>
        <charset val="134"/>
      </rPr>
      <t>）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取放件工位水平光栅存在盲区，竖直光栅高度低于</t>
    </r>
    <r>
      <rPr>
        <sz val="9"/>
        <color rgb="FFFF0000"/>
        <rFont val="Calibri Light"/>
        <charset val="134"/>
        <scheme val="major"/>
      </rPr>
      <t xml:space="preserve">1600mm
</t>
    </r>
    <r>
      <rPr>
        <sz val="9"/>
        <color rgb="FFFF0000"/>
        <rFont val="宋体"/>
        <charset val="134"/>
      </rPr>
      <t>取放件工位两侧矮围栏高度太低，中间矮围栏与转台间存在过大间隙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二层平台的（两个）升降压合机构应该设计维修安全柱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后侧平台光栅的复位按钮安装位置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其他问题已通过客户确认，采用客户的整改方案。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（孟子冰）整包外发凯尔博的项目，目前凯尔博物料缺失，严重影响最终交期，很难满足客户预定</t>
    </r>
    <r>
      <rPr>
        <sz val="9"/>
        <color rgb="FFFF0000"/>
        <rFont val="Calibri Light"/>
        <charset val="134"/>
        <scheme val="major"/>
      </rPr>
      <t>24</t>
    </r>
    <r>
      <rPr>
        <sz val="9"/>
        <color rgb="FFFF0000"/>
        <rFont val="宋体"/>
        <charset val="134"/>
      </rPr>
      <t>年</t>
    </r>
    <r>
      <rPr>
        <sz val="9"/>
        <color rgb="FFFF0000"/>
        <rFont val="Calibri Light"/>
        <charset val="134"/>
        <scheme val="major"/>
      </rPr>
      <t>10</t>
    </r>
    <r>
      <rPr>
        <sz val="9"/>
        <color rgb="FFFF0000"/>
        <rFont val="宋体"/>
        <charset val="134"/>
      </rPr>
      <t>月</t>
    </r>
    <r>
      <rPr>
        <sz val="9"/>
        <color rgb="FFFF0000"/>
        <rFont val="Calibri Light"/>
        <charset val="134"/>
        <scheme val="major"/>
      </rPr>
      <t>30</t>
    </r>
    <r>
      <rPr>
        <sz val="9"/>
        <color rgb="FFFF0000"/>
        <rFont val="宋体"/>
        <charset val="134"/>
      </rPr>
      <t>日落地重庆的要求。目前考虑使用</t>
    </r>
    <r>
      <rPr>
        <sz val="9"/>
        <color rgb="FFFF0000"/>
        <rFont val="Calibri Light"/>
        <charset val="134"/>
        <scheme val="major"/>
      </rPr>
      <t>EIC</t>
    </r>
    <r>
      <rPr>
        <sz val="9"/>
        <color rgb="FFFF0000"/>
        <rFont val="宋体"/>
        <charset val="134"/>
      </rPr>
      <t>现有物料进行替代</t>
    </r>
    <r>
      <rPr>
        <sz val="9"/>
        <color rgb="FFFF0000"/>
        <rFont val="Calibri Light"/>
        <charset val="134"/>
        <scheme val="major"/>
      </rPr>
      <t xml:space="preserve">
2024.9.26</t>
    </r>
    <r>
      <rPr>
        <sz val="9"/>
        <color rgb="FFFF0000"/>
        <rFont val="宋体"/>
        <charset val="134"/>
      </rPr>
      <t>：仍无法满足客户</t>
    </r>
    <r>
      <rPr>
        <sz val="9"/>
        <color rgb="FFFF0000"/>
        <rFont val="Calibri Light"/>
        <charset val="134"/>
        <scheme val="major"/>
      </rPr>
      <t>24</t>
    </r>
    <r>
      <rPr>
        <sz val="9"/>
        <color rgb="FFFF0000"/>
        <rFont val="宋体"/>
        <charset val="134"/>
      </rPr>
      <t>年</t>
    </r>
    <r>
      <rPr>
        <sz val="9"/>
        <color rgb="FFFF0000"/>
        <rFont val="Calibri Light"/>
        <charset val="134"/>
        <scheme val="major"/>
      </rPr>
      <t>10</t>
    </r>
    <r>
      <rPr>
        <sz val="9"/>
        <color rgb="FFFF0000"/>
        <rFont val="宋体"/>
        <charset val="134"/>
      </rPr>
      <t>月</t>
    </r>
    <r>
      <rPr>
        <sz val="9"/>
        <color rgb="FFFF0000"/>
        <rFont val="Calibri Light"/>
        <charset val="134"/>
        <scheme val="major"/>
      </rPr>
      <t>30</t>
    </r>
    <r>
      <rPr>
        <sz val="9"/>
        <color rgb="FFFF0000"/>
        <rFont val="宋体"/>
        <charset val="134"/>
      </rPr>
      <t>日落地重庆的要求，目前考虑</t>
    </r>
    <r>
      <rPr>
        <sz val="9"/>
        <color rgb="FFFF0000"/>
        <rFont val="Calibri Light"/>
        <charset val="134"/>
        <scheme val="major"/>
      </rPr>
      <t>EIC</t>
    </r>
    <r>
      <rPr>
        <sz val="9"/>
        <color rgb="FFFF0000"/>
        <rFont val="宋体"/>
        <charset val="134"/>
      </rPr>
      <t>派人去帮助凯尔博安装</t>
    </r>
  </si>
  <si>
    <t>Audi FAW NEV,A6-DP,Clipping</t>
  </si>
  <si>
    <r>
      <rPr>
        <sz val="9"/>
        <color theme="1" tint="0.499984740745262"/>
        <rFont val="Calibri Light"/>
        <charset val="134"/>
        <scheme val="major"/>
      </rPr>
      <t>PKR</t>
    </r>
    <r>
      <rPr>
        <sz val="9"/>
        <color theme="1" tint="0.499984740745262"/>
        <rFont val="微软雅黑"/>
        <charset val="134"/>
      </rPr>
      <t>记录黄色问题：</t>
    </r>
    <r>
      <rPr>
        <sz val="11"/>
        <color theme="1"/>
        <rFont val="Calibri"/>
        <charset val="134"/>
        <scheme val="minor"/>
      </rPr>
      <t xml:space="preserve">
</t>
    </r>
    <r>
      <rPr>
        <sz val="9"/>
        <color theme="1" tint="0.499984740745262"/>
        <rFont val="微软雅黑"/>
        <charset val="134"/>
      </rPr>
      <t>工艺（陶其琛）：</t>
    </r>
    <r>
      <rPr>
        <sz val="11"/>
        <color theme="1"/>
        <rFont val="Calibri"/>
        <charset val="134"/>
        <scheme val="minor"/>
      </rPr>
      <t>Feeder</t>
    </r>
    <r>
      <rPr>
        <sz val="9"/>
        <color theme="1" tint="0.499984740745262"/>
        <rFont val="微软雅黑"/>
        <charset val="134"/>
      </rPr>
      <t>送料的稳定性待验证，直播时发生一次卡顿。</t>
    </r>
    <r>
      <rPr>
        <sz val="11"/>
        <color theme="1"/>
        <rFont val="Calibri"/>
        <charset val="134"/>
        <scheme val="minor"/>
      </rPr>
      <t xml:space="preserve"> CLIP</t>
    </r>
    <r>
      <rPr>
        <sz val="9"/>
        <color theme="1" tint="0.499984740745262"/>
        <rFont val="微软雅黑"/>
        <charset val="134"/>
      </rPr>
      <t>来料状态不稳定，有尺寸异常件</t>
    </r>
    <r>
      <rPr>
        <sz val="11"/>
        <color theme="1"/>
        <rFont val="Calibri"/>
        <charset val="134"/>
        <scheme val="minor"/>
      </rPr>
      <t>.</t>
    </r>
  </si>
  <si>
    <t>30021618;2024,AP,BAIC,C71KB-IP,Lamination,240097, M,Equipment</t>
  </si>
  <si>
    <t>BAIC,C71KB-IP,Lamination</t>
  </si>
  <si>
    <t>30021325;2025,AP,Huawei Anhui,C71KB-IP,Lamination,240078,M,Equipment</t>
  </si>
  <si>
    <t>Huawei Anhui,C71KB-IP,Lamination</t>
  </si>
  <si>
    <t>30021200;2024,AP,Volkswagen,AS33-IP,Flame,240074,M,Equipment</t>
  </si>
  <si>
    <t>Volkswagen,AS33-IP,Flame</t>
  </si>
  <si>
    <t>30022663;2025,AP,M Auto,MX11,Flaming1,240134,M,Equipment</t>
  </si>
  <si>
    <t>Mi Auto,MX11,Flaming</t>
  </si>
  <si>
    <t>30022681;2025,AP,Daimler,BR 223-DP,Welding,240180,T,Equipment</t>
  </si>
  <si>
    <t>Daimler,BR 223-DP,Welding</t>
  </si>
  <si>
    <t>30022060;2024,AP,Geely,HX11 IP,Laser-W,240144,1M1T,Equipment</t>
  </si>
  <si>
    <t>Geely,HX11 IP,Laser-W</t>
  </si>
  <si>
    <t>30020435;2025,EMEA,Daimler,X244-IP,Welding,240029,T,Equipment</t>
  </si>
  <si>
    <t>Daimler,X244-IP,Welding</t>
  </si>
  <si>
    <t>30017451;2025,AP,Daimler,BR223-DP,Glue Spray,230195,T,Equipment</t>
  </si>
  <si>
    <t>Daimler,BR223-DP,Glue Spray</t>
  </si>
  <si>
    <t>、</t>
  </si>
  <si>
    <t>30017228;2025,AP,Daimler,BR223-DP,Pre-fixing,230170,T,Equipment</t>
  </si>
  <si>
    <t>AP,Daimler,BR223-DP,Pre-fixing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</si>
</sst>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</numFmts>
  <fonts count="36">
    <font>
      <sz val="11"/>
      <color theme="1"/>
      <name val="Calibri"/>
      <charset val="134"/>
      <scheme val="minor"/>
    </font>
    <font>
      <sz val="9"/>
      <name val="Microsoft YaHei UI"/>
      <charset val="134"/>
    </font>
    <font>
      <sz val="9"/>
      <color theme="1" tint="0.499984740745262"/>
      <name val="Microsoft YaHei UI"/>
      <charset val="134"/>
    </font>
    <font>
      <b/>
      <sz val="11"/>
      <color theme="1" tint="0.349986266670736"/>
      <name val="Microsoft YaHei UI"/>
      <charset val="134"/>
    </font>
    <font>
      <b/>
      <sz val="9"/>
      <color theme="1" tint="0.249946592608417"/>
      <name val="Microsoft YaHei UI"/>
      <charset val="134"/>
    </font>
    <font>
      <b/>
      <sz val="9"/>
      <color theme="1" tint="0.499984740745262"/>
      <name val="Microsoft YaHei UI"/>
      <charset val="134"/>
    </font>
    <font>
      <sz val="9"/>
      <color theme="1" tint="0.499984740745262"/>
      <name val="Calibri Light"/>
      <charset val="134"/>
      <scheme val="major"/>
    </font>
    <font>
      <sz val="9"/>
      <color rgb="FFFF0000"/>
      <name val="Calibri Light"/>
      <charset val="134"/>
      <scheme val="major"/>
    </font>
    <font>
      <b/>
      <sz val="9"/>
      <name val="Microsoft YaHei UI"/>
      <charset val="134"/>
    </font>
    <font>
      <b/>
      <sz val="11"/>
      <color theme="1"/>
      <name val="Calibri"/>
      <charset val="134"/>
      <scheme val="minor"/>
    </font>
    <font>
      <b/>
      <sz val="9"/>
      <color rgb="FFFF0000"/>
      <name val="Microsoft YaHei UI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28"/>
      <color theme="0" tint="-0.249946592608417"/>
      <name val="Calibri Light"/>
      <charset val="134"/>
      <scheme val="major"/>
    </font>
    <font>
      <b/>
      <sz val="11"/>
      <color theme="1" tint="0.349986266670736"/>
      <name val="Calibri"/>
      <charset val="134"/>
      <scheme val="minor"/>
    </font>
    <font>
      <sz val="12"/>
      <name val="宋体"/>
      <charset val="134"/>
    </font>
    <font>
      <sz val="9"/>
      <color rgb="FFFF0000"/>
      <name val="宋体"/>
      <charset val="134"/>
    </font>
    <font>
      <sz val="9"/>
      <color theme="1" tint="0.499984740745262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n">
        <color auto="1"/>
      </top>
      <bottom/>
      <diagonal/>
    </border>
    <border>
      <left style="thick">
        <color theme="0"/>
      </left>
      <right style="thick">
        <color theme="0"/>
      </right>
      <top style="thin">
        <color auto="1"/>
      </top>
      <bottom style="thin">
        <color auto="1"/>
      </bottom>
      <diagonal/>
    </border>
    <border>
      <left style="thick">
        <color theme="0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0" tint="-0.14996795556505"/>
      </bottom>
      <diagonal/>
    </border>
  </borders>
  <cellStyleXfs count="116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7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/>
    <xf numFmtId="0" fontId="31" fillId="0" borderId="19" applyNumberFormat="0" applyProtection="0">
      <alignment vertical="center"/>
    </xf>
    <xf numFmtId="0" fontId="32" fillId="0" borderId="0" applyNumberFormat="0" applyFill="0" applyAlignment="0" applyProtection="0"/>
    <xf numFmtId="176" fontId="0" fillId="0" borderId="0"/>
    <xf numFmtId="0" fontId="0" fillId="0" borderId="0"/>
    <xf numFmtId="0" fontId="33" fillId="0" borderId="0"/>
    <xf numFmtId="0" fontId="6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>
      <alignment vertical="center"/>
    </xf>
  </cellStyleXfs>
  <cellXfs count="62">
    <xf numFmtId="0" fontId="0" fillId="0" borderId="0" xfId="0"/>
    <xf numFmtId="0" fontId="1" fillId="0" borderId="0" xfId="115" applyFont="1">
      <alignment vertical="center"/>
    </xf>
    <xf numFmtId="0" fontId="2" fillId="0" borderId="0" xfId="115" applyFont="1">
      <alignment vertical="center"/>
    </xf>
    <xf numFmtId="0" fontId="2" fillId="0" borderId="0" xfId="115" applyFont="1" applyAlignment="1">
      <alignment horizontal="center" vertical="center"/>
    </xf>
    <xf numFmtId="0" fontId="2" fillId="0" borderId="0" xfId="115" applyFont="1" applyAlignment="1">
      <alignment horizontal="left" vertical="center"/>
    </xf>
    <xf numFmtId="0" fontId="3" fillId="0" borderId="1" xfId="51" applyFont="1" applyBorder="1" applyAlignment="1">
      <alignment horizontal="left" vertical="center"/>
    </xf>
    <xf numFmtId="14" fontId="2" fillId="0" borderId="2" xfId="115" applyNumberFormat="1" applyFont="1" applyBorder="1" applyAlignment="1">
      <alignment horizontal="left" vertical="center"/>
    </xf>
    <xf numFmtId="14" fontId="2" fillId="0" borderId="2" xfId="115" applyNumberFormat="1" applyFont="1" applyBorder="1">
      <alignment vertical="center"/>
    </xf>
    <xf numFmtId="0" fontId="2" fillId="0" borderId="2" xfId="115" applyFont="1" applyBorder="1">
      <alignment vertical="center"/>
    </xf>
    <xf numFmtId="0" fontId="2" fillId="0" borderId="2" xfId="115" applyFont="1" applyBorder="1" applyAlignment="1">
      <alignment horizontal="center" vertical="center"/>
    </xf>
    <xf numFmtId="0" fontId="4" fillId="0" borderId="2" xfId="115" applyFont="1" applyBorder="1" applyAlignment="1">
      <alignment horizontal="center" vertical="center"/>
    </xf>
    <xf numFmtId="14" fontId="2" fillId="0" borderId="2" xfId="115" applyNumberFormat="1" applyFont="1" applyBorder="1" applyAlignment="1">
      <alignment horizontal="left" vertical="center" wrapText="1"/>
    </xf>
    <xf numFmtId="14" fontId="2" fillId="0" borderId="3" xfId="115" applyNumberFormat="1" applyFont="1" applyBorder="1" applyAlignment="1">
      <alignment horizontal="left" vertical="center"/>
    </xf>
    <xf numFmtId="14" fontId="2" fillId="0" borderId="3" xfId="115" applyNumberFormat="1" applyFont="1" applyBorder="1">
      <alignment vertical="center"/>
    </xf>
    <xf numFmtId="0" fontId="2" fillId="0" borderId="3" xfId="115" applyFont="1" applyBorder="1">
      <alignment vertical="center"/>
    </xf>
    <xf numFmtId="0" fontId="2" fillId="0" borderId="3" xfId="115" applyFont="1" applyBorder="1" applyAlignment="1">
      <alignment horizontal="center" vertical="center"/>
    </xf>
    <xf numFmtId="0" fontId="4" fillId="0" borderId="3" xfId="115" applyFont="1" applyBorder="1" applyAlignment="1">
      <alignment horizontal="center" vertical="center"/>
    </xf>
    <xf numFmtId="14" fontId="2" fillId="0" borderId="3" xfId="115" applyNumberFormat="1" applyFont="1" applyBorder="1" applyAlignment="1">
      <alignment horizontal="left" vertical="center" wrapText="1"/>
    </xf>
    <xf numFmtId="14" fontId="5" fillId="0" borderId="3" xfId="115" applyNumberFormat="1" applyFont="1" applyBorder="1" applyAlignment="1">
      <alignment horizontal="left" vertical="center"/>
    </xf>
    <xf numFmtId="14" fontId="5" fillId="0" borderId="3" xfId="115" applyNumberFormat="1" applyFont="1" applyBorder="1">
      <alignment vertical="center"/>
    </xf>
    <xf numFmtId="0" fontId="5" fillId="0" borderId="3" xfId="115" applyFont="1" applyBorder="1">
      <alignment vertical="center"/>
    </xf>
    <xf numFmtId="0" fontId="5" fillId="0" borderId="3" xfId="115" applyFont="1" applyBorder="1" applyAlignment="1">
      <alignment horizontal="center" vertical="center"/>
    </xf>
    <xf numFmtId="14" fontId="5" fillId="0" borderId="3" xfId="115" applyNumberFormat="1" applyFont="1" applyBorder="1" applyAlignment="1">
      <alignment horizontal="left" vertical="center" wrapText="1"/>
    </xf>
    <xf numFmtId="0" fontId="6" fillId="0" borderId="0" xfId="115">
      <alignment vertical="center"/>
    </xf>
    <xf numFmtId="0" fontId="6" fillId="0" borderId="4" xfId="115" applyBorder="1">
      <alignment vertical="center"/>
    </xf>
    <xf numFmtId="0" fontId="6" fillId="0" borderId="4" xfId="115" applyBorder="1" applyAlignment="1">
      <alignment horizontal="center" vertical="center"/>
    </xf>
    <xf numFmtId="0" fontId="3" fillId="0" borderId="1" xfId="51" applyNumberFormat="1" applyFont="1" applyBorder="1" applyAlignment="1">
      <alignment horizontal="left" vertical="center"/>
    </xf>
    <xf numFmtId="0" fontId="3" fillId="0" borderId="5" xfId="51" applyFont="1" applyBorder="1" applyAlignment="1">
      <alignment horizontal="left" vertical="center"/>
    </xf>
    <xf numFmtId="0" fontId="2" fillId="0" borderId="2" xfId="115" applyFont="1" applyBorder="1" applyAlignment="1">
      <alignment horizontal="left" vertical="center"/>
    </xf>
    <xf numFmtId="0" fontId="2" fillId="0" borderId="6" xfId="115" applyFont="1" applyBorder="1" applyAlignment="1">
      <alignment horizontal="left" vertical="center" wrapText="1"/>
    </xf>
    <xf numFmtId="0" fontId="2" fillId="0" borderId="3" xfId="115" applyFont="1" applyBorder="1" applyAlignment="1">
      <alignment horizontal="left" vertical="center"/>
    </xf>
    <xf numFmtId="0" fontId="2" fillId="0" borderId="3" xfId="115" applyFont="1" applyBorder="1" applyAlignment="1">
      <alignment horizontal="left" vertical="center" wrapText="1"/>
    </xf>
    <xf numFmtId="0" fontId="5" fillId="0" borderId="3" xfId="115" applyFont="1" applyBorder="1" applyAlignment="1">
      <alignment horizontal="left" vertical="center"/>
    </xf>
    <xf numFmtId="0" fontId="5" fillId="0" borderId="3" xfId="115" applyFont="1" applyBorder="1" applyAlignment="1">
      <alignment horizontal="left" vertical="center" wrapText="1"/>
    </xf>
    <xf numFmtId="0" fontId="6" fillId="0" borderId="4" xfId="115" applyBorder="1" applyAlignment="1">
      <alignment horizontal="left" vertical="center"/>
    </xf>
    <xf numFmtId="0" fontId="6" fillId="2" borderId="4" xfId="115" applyFill="1" applyBorder="1" applyAlignment="1">
      <alignment horizontal="left" vertical="center"/>
    </xf>
    <xf numFmtId="0" fontId="7" fillId="0" borderId="4" xfId="115" applyFont="1" applyBorder="1" applyAlignment="1">
      <alignment vertical="center" wrapText="1"/>
    </xf>
    <xf numFmtId="0" fontId="6" fillId="0" borderId="4" xfId="115" applyBorder="1" applyAlignment="1">
      <alignment vertical="center" wrapText="1"/>
    </xf>
    <xf numFmtId="0" fontId="6" fillId="3" borderId="4" xfId="115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left"/>
    </xf>
    <xf numFmtId="0" fontId="8" fillId="0" borderId="7" xfId="55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8" fillId="0" borderId="7" xfId="55" applyNumberFormat="1" applyFont="1" applyBorder="1">
      <alignment vertical="center"/>
    </xf>
    <xf numFmtId="0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0" xfId="55" applyFont="1">
      <alignment vertical="center"/>
    </xf>
    <xf numFmtId="0" fontId="0" fillId="0" borderId="0" xfId="0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4" xfId="55" applyFont="1" applyBorder="1" applyAlignment="1">
      <alignment vertical="center" wrapText="1"/>
    </xf>
    <xf numFmtId="0" fontId="5" fillId="0" borderId="4" xfId="55" applyFont="1" applyBorder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10" fillId="0" borderId="4" xfId="55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</cellXfs>
  <cellStyles count="116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Normal 3" xfId="49"/>
    <cellStyle name="标题 1 2" xfId="50"/>
    <cellStyle name="标题 2 2" xfId="51"/>
    <cellStyle name="常规 2" xfId="52"/>
    <cellStyle name="常规 2 2" xfId="53"/>
    <cellStyle name="常规 2 3 2" xfId="54"/>
    <cellStyle name="常规 3" xfId="55"/>
    <cellStyle name="常规 3 10" xfId="56"/>
    <cellStyle name="常规 3 11" xfId="57"/>
    <cellStyle name="常规 3 12" xfId="58"/>
    <cellStyle name="常规 3 13" xfId="59"/>
    <cellStyle name="常规 3 14" xfId="60"/>
    <cellStyle name="常规 3 2" xfId="61"/>
    <cellStyle name="常规 3 2 2" xfId="62"/>
    <cellStyle name="常规 3 2 2 2" xfId="63"/>
    <cellStyle name="常规 3 2 2 2 2" xfId="64"/>
    <cellStyle name="常规 3 2 2 2 3" xfId="65"/>
    <cellStyle name="常规 3 2 2 3" xfId="66"/>
    <cellStyle name="常规 3 2 2 4" xfId="67"/>
    <cellStyle name="常规 3 2 3" xfId="68"/>
    <cellStyle name="常规 3 2 3 2" xfId="69"/>
    <cellStyle name="常规 3 2 3 3" xfId="70"/>
    <cellStyle name="常规 3 2 4" xfId="71"/>
    <cellStyle name="常规 3 2 4 2" xfId="72"/>
    <cellStyle name="常规 3 2 4 3" xfId="73"/>
    <cellStyle name="常规 3 2 5" xfId="74"/>
    <cellStyle name="常规 3 2 6" xfId="75"/>
    <cellStyle name="常规 3 3" xfId="76"/>
    <cellStyle name="常规 3 3 2" xfId="77"/>
    <cellStyle name="常规 3 3 2 2" xfId="78"/>
    <cellStyle name="常规 3 3 2 2 2" xfId="79"/>
    <cellStyle name="常规 3 3 2 2 3" xfId="80"/>
    <cellStyle name="常规 3 3 2 3" xfId="81"/>
    <cellStyle name="常规 3 3 2 4" xfId="82"/>
    <cellStyle name="常规 3 3 3" xfId="83"/>
    <cellStyle name="常规 3 3 3 2" xfId="84"/>
    <cellStyle name="常规 3 3 3 3" xfId="85"/>
    <cellStyle name="常规 3 3 4" xfId="86"/>
    <cellStyle name="常规 3 3 4 2" xfId="87"/>
    <cellStyle name="常规 3 3 4 3" xfId="88"/>
    <cellStyle name="常规 3 3 5" xfId="89"/>
    <cellStyle name="常规 3 3 6" xfId="90"/>
    <cellStyle name="常规 3 4" xfId="91"/>
    <cellStyle name="常规 3 4 2" xfId="92"/>
    <cellStyle name="常规 3 4 2 2" xfId="93"/>
    <cellStyle name="常规 3 4 2 3" xfId="94"/>
    <cellStyle name="常规 3 4 3" xfId="95"/>
    <cellStyle name="常规 3 4 4" xfId="96"/>
    <cellStyle name="常规 3 5" xfId="97"/>
    <cellStyle name="常规 3 5 2" xfId="98"/>
    <cellStyle name="常规 3 5 2 2" xfId="99"/>
    <cellStyle name="常规 3 5 2 3" xfId="100"/>
    <cellStyle name="常规 3 5 3" xfId="101"/>
    <cellStyle name="常规 3 5 4" xfId="102"/>
    <cellStyle name="常规 3 6" xfId="103"/>
    <cellStyle name="常规 3 6 2" xfId="104"/>
    <cellStyle name="常规 3 6 3" xfId="105"/>
    <cellStyle name="常规 3 7" xfId="106"/>
    <cellStyle name="常规 3 7 2" xfId="107"/>
    <cellStyle name="常规 3 7 3" xfId="108"/>
    <cellStyle name="常规 3 8" xfId="109"/>
    <cellStyle name="常规 3 8 2" xfId="110"/>
    <cellStyle name="常规 3 8 3" xfId="111"/>
    <cellStyle name="常规 3 9" xfId="112"/>
    <cellStyle name="常规 3 9 2" xfId="113"/>
    <cellStyle name="常规 3 9 3" xfId="114"/>
    <cellStyle name="常规 4" xfId="115"/>
  </cellStyles>
  <dxfs count="45"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14" formatCode="yyyy/m/d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14" formatCode="yyyy/m/d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family val="2"/>
        <b val="1"/>
        <i val="0"/>
        <strike val="0"/>
        <u val="none"/>
        <sz val="9"/>
        <color theme="1" tint="0.249946592608417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14" formatCode="yyyy/m/d"/>
      <alignment horizontal="left" vertical="center" wrapText="1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14" formatCode="yyyy/m/d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0" formatCode="General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0" formatCode="General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0" formatCode="General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alignment horizontal="left" vertical="center" wrapText="1"/>
      <border>
        <left/>
        <right/>
        <top style="thin">
          <color auto="1"/>
        </top>
        <bottom style="thin">
          <color auto="1"/>
        </bottom>
      </border>
    </dxf>
    <dxf>
      <font>
        <b val="1"/>
        <i val="0"/>
        <color auto="1"/>
      </font>
    </dxf>
    <dxf>
      <font>
        <b val="1"/>
        <i val="0"/>
        <color theme="4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0"/>
        <color theme="5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0"/>
        <color rgb="FFFF0000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0"/>
        <color rgb="FFFFC000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1"/>
        <color rgb="FFFF0000"/>
      </font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name val="Century Gothic"/>
        <scheme val="none"/>
        <b val="1"/>
        <i val="0"/>
        <color theme="4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5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name val="Century Gothic"/>
        <scheme val="none"/>
        <b val="1"/>
        <i val="0"/>
        <sz val="11"/>
        <color theme="0" tint="-0.349986266670736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8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color theme="1" tint="0.499984740745262"/>
      </font>
      <border>
        <bottom style="thick">
          <color theme="4"/>
        </bottom>
      </border>
    </dxf>
    <dxf>
      <font>
        <color theme="1" tint="0.499984740745262"/>
      </font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8" defaultTableStyle="TableStyleMedium2" defaultPivotStyle="PivotStyleLight16">
    <tableStyle name="Employee Training Tracker - Log" pivot="0" count="4" xr9:uid="{0C81C435-1AA9-4E0F-8483-33E3828F8941}">
      <tableStyleElement type="wholeTable" dxfId="20"/>
      <tableStyleElement type="headerRow" dxfId="19"/>
      <tableStyleElement type="totalRow" dxfId="18"/>
      <tableStyleElement type="firstColumn" dxfId="17"/>
    </tableStyle>
    <tableStyle name="Employee Training Tracker - Log 2" pivot="0" count="4" xr9:uid="{AEA9B7A3-D0B9-4ED1-9585-7F2C407AFCB4}">
      <tableStyleElement type="wholeTable" dxfId="24"/>
      <tableStyleElement type="headerRow" dxfId="23"/>
      <tableStyleElement type="totalRow" dxfId="22"/>
      <tableStyleElement type="firstColumn" dxfId="21"/>
    </tableStyle>
    <tableStyle name="Employee Training Tracker - Log 3" pivot="0" count="4" xr9:uid="{561B3E1E-BF2A-47AD-ACFD-B32101C61C8C}">
      <tableStyleElement type="wholeTable" dxfId="28"/>
      <tableStyleElement type="headerRow" dxfId="27"/>
      <tableStyleElement type="totalRow" dxfId="26"/>
      <tableStyleElement type="firstColumn" dxfId="25"/>
    </tableStyle>
    <tableStyle name="Employee Training Tracker" pivot="0" table="0" count="1" xr9:uid="{F63ADC8D-9704-4691-B8CE-202C47AE62DD}">
      <tableStyleElement type="headerRow" dxfId="29"/>
    </tableStyle>
    <tableStyle name="Employee Training Tracker - Info" pivot="0" count="4" xr9:uid="{AF81CC49-C240-415A-96DF-A08003DF6D81}">
      <tableStyleElement type="wholeTable" dxfId="33"/>
      <tableStyleElement type="headerRow" dxfId="32"/>
      <tableStyleElement type="totalRow" dxfId="31"/>
      <tableStyleElement type="firstColumn" dxfId="30"/>
    </tableStyle>
    <tableStyle name="Employee Training Tracker - List" pivot="0" count="4" xr9:uid="{C4E89EA0-E98C-4700-A40E-A416E8E4695A}">
      <tableStyleElement type="wholeTable" dxfId="37"/>
      <tableStyleElement type="headerRow" dxfId="36"/>
      <tableStyleElement type="totalRow" dxfId="35"/>
      <tableStyleElement type="firstColumn" dxfId="34"/>
    </tableStyle>
    <tableStyle name="Employee Training Tracker - Log 4" pivot="0" count="4" xr9:uid="{F46D4C8B-9794-4F68-B411-57653A5B6418}">
      <tableStyleElement type="wholeTable" dxfId="41"/>
      <tableStyleElement type="headerRow" dxfId="40"/>
      <tableStyleElement type="totalRow" dxfId="39"/>
      <tableStyleElement type="firstColumn" dxfId="38"/>
    </tableStyle>
    <tableStyle name="PivotTable Style 1" table="0" count="3" xr9:uid="{6FDAF92C-8E98-4F20-9CA8-E3DD051F53DB}">
      <tableStyleElement type="wholeTable" dxfId="44"/>
      <tableStyleElement type="headerRow" dxfId="43"/>
      <tableStyleElement type="firstColumn" dxfId="42"/>
    </tableStyle>
  </tableStyles>
  <colors>
    <mruColors>
      <color rgb="00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HK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XSO Ranking Bubble chart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3658514586189"/>
          <c:y val="0.0910245667648351"/>
          <c:w val="0.918269554827047"/>
          <c:h val="0.788603613264295"/>
        </c:manualLayout>
      </c:layout>
      <c:bubbleChart>
        <c:varyColors val="0"/>
        <c:ser>
          <c:idx val="0"/>
          <c:order val="0"/>
          <c:tx>
            <c:strRef>
              <c:f>'XSO Ranking Bubble chart'!$C$5:$C$34</c:f>
              <c:strCache>
                <c:ptCount val="1"/>
                <c:pt idx="0">
                  <c:v>smartmi,MX11-DAB,Lamination Huawei Anhui,EHV-DP,Lamination SERES Motors,F2N-DAB, Lamination, SERES Motors,F2N10lm-light,assemble smartmi,F2N-light,assemble XPENG,G02顶棚EOL SERES Motors,F2N-light</c:v>
                </c:pt>
              </c:strCache>
            </c:strRef>
          </c:tx>
          <c:spPr>
            <a:solidFill>
              <a:srgbClr val="00FFFF"/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rgbClr val="00FFFF"/>
              </a:solidFill>
              <a:ln>
                <a:solidFill>
                  <a:schemeClr val="accent1">
                    <a:alpha val="95000"/>
                  </a:schemeClr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209779752241683"/>
                  <c:y val="-0.076029515647560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bc5ec6d6-6945-4893-bb6a-65f77bae5877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4247137380877"/>
                      <c:h val="0.0656932386214154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202573781529337"/>
                  <c:y val="-0.08192580899763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fld id="{322afb5c-72b8-4233-ab7d-5c84a190ec07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4599501142136"/>
                      <c:h val="0.0687092540851748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325661579072539"/>
                  <c:y val="0.037537987309597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322669c1-374c-473f-952b-3daedf4595b2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468024878166"/>
                      <c:h val="0.0573725936191678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160871588928913"/>
                  <c:y val="-0.13103690077414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797c802b-7a2d-4510-a48f-493eb404b2c1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77233526795651"/>
                      <c:h val="0.039431189885794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224973354931122"/>
                  <c:y val="-0.29819981065902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ee82f5bc-33bb-46e7-86c9-3c630c89cf37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1437611445865"/>
                      <c:h val="0.0526829864498982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0.116995629802929"/>
                  <c:y val="-0.25895371503976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b2add841-350c-4a40-aae7-0b051c6e03fb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3009820448508"/>
                      <c:h val="0.0482728332991525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0.0904303303572868"/>
                  <c:y val="-0.14538175821944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cc2567e5-0fbb-4428-94cd-e9608fd4db9a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177003917510489"/>
                  <c:y val="-0.39235965670037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679dec28-6b62-4cd2-8b67-5ebecfdd1206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0.0146926189818986"/>
                  <c:y val="-0.036723655399428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0a0ff430-0479-4b43-a82d-587a03a8b490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0.0233099445265947"/>
                  <c:y val="-0.10941515597843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dec9345b-72b1-4110-a4f0-86558b336c84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9918849326537"/>
                      <c:h val="0.0614065336694573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10"/>
              <c:layout>
                <c:manualLayout>
                  <c:x val="0.0201330724364841"/>
                  <c:y val="-0.058535362637681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9a81f2ae-0311-421b-81c5-9e3fade4562a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1"/>
              <c:layout>
                <c:manualLayout>
                  <c:x val="-0.199579062839806"/>
                  <c:y val="0.023938167950000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40a03858-add8-43f7-9cb9-b0057690f2a7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2"/>
              <c:layout>
                <c:manualLayout>
                  <c:x val="-0.0176200383981943"/>
                  <c:y val="0.090124853177883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6e499740-5485-4f84-b91f-021f112aab5f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2325269065958"/>
                      <c:h val="0.0656932386214154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13"/>
              <c:layout>
                <c:manualLayout>
                  <c:x val="0.00257152502429445"/>
                  <c:y val="0.062019940877556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38e1d980-bbfe-4a96-bec8-9f83a74cd4c8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4"/>
              <c:layout>
                <c:manualLayout>
                  <c:x val="0.0141783238739915"/>
                  <c:y val="0.031485912327257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d6d4b8c4-fdac-4420-a464-95a43b29ff80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53301905232528"/>
                      <c:h val="0.040380173472791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15"/>
              <c:layout>
                <c:manualLayout>
                  <c:x val="0.0283641694314626"/>
                  <c:y val="-0.10812426071050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b8f2a984-d478-44ac-a51a-19651629e2d2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6"/>
              <c:layout>
                <c:manualLayout>
                  <c:x val="-0.251394851664979"/>
                  <c:y val="0.062445854489183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7"/>
              <c:layout>
                <c:manualLayout>
                  <c:x val="-0.276989161155137"/>
                  <c:y val="0.097673633337269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8"/>
              <c:layout>
                <c:manualLayout>
                  <c:x val="0.0330057409249157"/>
                  <c:y val="-0.146322662705836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9"/>
              <c:layout>
                <c:manualLayout>
                  <c:x val="-0.305741241618148"/>
                  <c:y val="0.094217405590916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8337260608815"/>
                      <c:h val="0.0591259071750498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0"/>
              <c:layout>
                <c:manualLayout>
                  <c:x val="-0.340951030263992"/>
                  <c:y val="-0.099760563526397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1"/>
              <c:layout>
                <c:manualLayout>
                  <c:x val="-0.100448414791298"/>
                  <c:y val="0.10454452086769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2"/>
              <c:layout>
                <c:manualLayout>
                  <c:x val="-0.248526621641385"/>
                  <c:y val="0.044616310312989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48039322512883"/>
                      <c:h val="0.0588636769866132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3"/>
              <c:layout>
                <c:manualLayout>
                  <c:x val="0.12277546089828"/>
                  <c:y val="-0.072703827041382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4"/>
              <c:layout>
                <c:manualLayout>
                  <c:x val="0.101472071357043"/>
                  <c:y val="0.10349008745448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5300956415119"/>
                      <c:h val="0.0351898996815121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5"/>
              <c:layout>
                <c:manualLayout>
                  <c:x val="-0.0436938357833427"/>
                  <c:y val="0.077095322004937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6"/>
              <c:layout>
                <c:manualLayout>
                  <c:x val="-0.147754627311039"/>
                  <c:y val="0.10721332955446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7"/>
              <c:layout>
                <c:manualLayout>
                  <c:x val="-0.222252354206626"/>
                  <c:y val="0.10968376605506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8"/>
              <c:layout>
                <c:manualLayout>
                  <c:x val="-0.266157429485924"/>
                  <c:y val="0.072114709252892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fld id="{24dc2872-d4d8-4561-a5bd-9056ac3a2306}" type="CELLRANGE">
                      <a:t>[CELLRANGE]</a:t>
                    </a:fld>
                    <a:endParaRPr lang="en-US" altLang="zh-CN"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  <a:p>
                    <a:fld id="{41bf9da6-6a3f-4433-bbec-b4eee595ac5c}" type="CELLRANGE">
                      <a:t>[CELLRANGE]</a:t>
                    </a:fld>
                    <a:endParaRPr 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zh-HK"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58933028757773"/>
                      <c:h val="0.0312206572769953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9"/>
              <c:layout>
                <c:manualLayout>
                  <c:x val="0.0381931373824142"/>
                  <c:y val="0.085602401225668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55680020251883"/>
                      <c:h val="0.0369980160930588"/>
                    </c:manualLayout>
                  </c15:layout>
                  <c15:dlblFieldTable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noAutofit/>
              </a:bodyPr>
              <a:lstStyle/>
              <a:p>
                <a:pPr algn="l">
                  <a:defRPr lang="zh-HK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'XSO Ranking Bubble chart'!$E$5:$E$34</c:f>
              <c:numCache>
                <c:formatCode>General</c:formatCode>
                <c:ptCount val="30"/>
                <c:pt idx="0">
                  <c:v>-7</c:v>
                </c:pt>
                <c:pt idx="1">
                  <c:v>31</c:v>
                </c:pt>
                <c:pt idx="2">
                  <c:v>-9</c:v>
                </c:pt>
                <c:pt idx="3">
                  <c:v>-1</c:v>
                </c:pt>
                <c:pt idx="4">
                  <c:v>-13</c:v>
                </c:pt>
                <c:pt idx="5">
                  <c:v>-12</c:v>
                </c:pt>
                <c:pt idx="6">
                  <c:v>-12</c:v>
                </c:pt>
              </c:numCache>
            </c:numRef>
          </c:xVal>
          <c:yVal>
            <c:numRef>
              <c:f>'XSO Ranking Bubble chart'!$D$5:$D$34</c:f>
              <c:numCache>
                <c:formatCode>General</c:formatCode>
                <c:ptCount val="30"/>
                <c:pt idx="0">
                  <c:v>90</c:v>
                </c:pt>
                <c:pt idx="1">
                  <c:v>100</c:v>
                </c:pt>
                <c:pt idx="2">
                  <c:v>100</c:v>
                </c:pt>
                <c:pt idx="3">
                  <c:v>90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yVal>
          <c:bubbleSize>
            <c:numRef>
              <c:f>'XSO Ranking Bubble chart'!$F$5:$F$34</c:f>
              <c:numCache>
                <c:formatCode>General</c:formatCode>
                <c:ptCount val="30"/>
                <c:pt idx="0">
                  <c:v>0.336</c:v>
                </c:pt>
                <c:pt idx="1">
                  <c:v>0.07</c:v>
                </c:pt>
                <c:pt idx="2">
                  <c:v>0.138</c:v>
                </c:pt>
                <c:pt idx="3">
                  <c:v>0.156</c:v>
                </c:pt>
                <c:pt idx="4">
                  <c:v>0.276</c:v>
                </c:pt>
                <c:pt idx="5">
                  <c:v>0.041</c:v>
                </c:pt>
                <c:pt idx="6">
                  <c:v>0.064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'XSO Ranking Bubble chart'!$C$5:$C$34</c15:f>
                <c15:dlblRangeCache>
                  <c:ptCount val="30"/>
                  <c:pt idx="0">
                    <c:v>smartmi,MX11-DAB,Lamination</c:v>
                  </c:pt>
                  <c:pt idx="1">
                    <c:v>Huawei Anhui,EHV-DP,Lamination</c:v>
                  </c:pt>
                  <c:pt idx="2">
                    <c:v>SERES Motors,F2N-DAB, Lamination,</c:v>
                  </c:pt>
                  <c:pt idx="3">
                    <c:v>SERES Motors,F2N10lm-light,assemble</c:v>
                  </c:pt>
                  <c:pt idx="4">
                    <c:v>smartmi,F2N-light,assemble</c:v>
                  </c:pt>
                  <c:pt idx="5">
                    <c:v>XPENG,G02顶棚EOL</c:v>
                  </c:pt>
                  <c:pt idx="6">
                    <c:v>SERES Motors,F2N-light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sizeRepresents val="area"/>
        <c:axId val="1028122895"/>
        <c:axId val="714473679"/>
        <c:extLst>
          <c:ext xmlns:c15="http://schemas.microsoft.com/office/drawing/2012/chart" uri="{02D57815-91ED-43cb-92C2-25804820EDAC}">
            <c15:filteredBubbleSeries>
              <c15:ser>
                <c:idx val="1"/>
                <c:order val="1"/>
                <c:spPr>
                  <a:solidFill>
                    <a:schemeClr val="accent2">
                      <a:alpha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chemeClr val="lt1"/>
                    </a:solidFill>
                    <a:ln>
                      <a:solidFill>
                        <a:schemeClr val="dk1">
                          <a:lumMod val="25000"/>
                          <a:lumOff val="75000"/>
                        </a:scheme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zh-HK"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l"/>
                  <c:showLegendKey val="0"/>
                  <c:showVal val="1"/>
                  <c:showCatName val="1"/>
                  <c:showSerName val="0"/>
                  <c:showPercent val="0"/>
                  <c:showBubbleSize val="1"/>
                  <c:showLeaderLines val="0"/>
                  <c:extLst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layout/>
                      <c15:showLeaderLines val="0"/>
                      <c15:leaderLines/>
                    </c:ext>
                  </c:extLst>
                </c:dLbls>
                <c:yVal>
                  <c:numRef>
                    <c:f>'XSO Ranking Bubble chart'!$E$5:$E$32</c:f>
                    <c:numCache>
                      <c:formatCode>General</c:formatCode>
                      <c:ptCount val="28"/>
                      <c:pt idx="0">
                        <c:v>-7</c:v>
                      </c:pt>
                      <c:pt idx="1">
                        <c:v>31</c:v>
                      </c:pt>
                      <c:pt idx="2">
                        <c:v>-9</c:v>
                      </c:pt>
                      <c:pt idx="3">
                        <c:v>-1</c:v>
                      </c:pt>
                      <c:pt idx="4">
                        <c:v>-13</c:v>
                      </c:pt>
                      <c:pt idx="5">
                        <c:v>-12</c:v>
                      </c:pt>
                      <c:pt idx="6">
                        <c:v>-12</c:v>
                      </c:pt>
                    </c:numCache>
                  </c:numRef>
                </c:yVal>
                <c:bubbleSize>
                  <c:numRef>
                    <c:numCache>
                      <c:formatCode>General</c:formatCode>
                      <c:ptCount val="28"/>
                      <c:pt idx="0">
                        <c:v>0.192</c:v>
                      </c:pt>
                      <c:pt idx="1">
                        <c:v>0.128</c:v>
                      </c:pt>
                      <c:pt idx="2">
                        <c:v>0.007</c:v>
                      </c:pt>
                      <c:pt idx="3">
                        <c:v>0.064</c:v>
                      </c:pt>
                      <c:pt idx="4">
                        <c:v>0.987</c:v>
                      </c:pt>
                      <c:pt idx="5">
                        <c:v>0.064</c:v>
                      </c:pt>
                      <c:pt idx="6">
                        <c:v>0</c:v>
                      </c:pt>
                      <c:pt idx="7">
                        <c:v>0.418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0.667</c:v>
                      </c:pt>
                      <c:pt idx="11">
                        <c:v>0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</c:numCache>
                  </c:numRef>
                </c:bubbleSize>
                <c:bubble3D val="0"/>
              </c15:ser>
            </c15:filteredBubbleSeries>
          </c:ext>
        </c:extLst>
      </c:bubbleChart>
      <c:valAx>
        <c:axId val="102812289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HK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baseline="0">
                    <a:effectLst/>
                  </a:rPr>
                  <a:t>Max weeks after gate</a:t>
                </a:r>
                <a:endParaRPr lang="zh-CN" altLang="zh-CN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473679"/>
        <c:crosses val="max"/>
        <c:crossBetween val="midCat"/>
        <c:majorUnit val="1"/>
        <c:minorUnit val="1"/>
      </c:valAx>
      <c:valAx>
        <c:axId val="714473679"/>
        <c:scaling>
          <c:orientation val="maxMin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HK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baseline="0">
                    <a:effectLst/>
                  </a:rPr>
                  <a:t>Score</a:t>
                </a:r>
                <a:endParaRPr lang="zh-CN" altLang="zh-CN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50800">
                    <a:schemeClr val="tx1">
                      <a:alpha val="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</a:p>
        </c:txPr>
        <c:crossAx val="1028122895"/>
        <c:crossesAt val="-6"/>
        <c:crossBetween val="midCat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0b5db68-7b9f-44bd-8065-30e300c7c1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57148</xdr:colOff>
      <xdr:row>3</xdr:row>
      <xdr:rowOff>30480</xdr:rowOff>
    </xdr:from>
    <xdr:to>
      <xdr:col>14</xdr:col>
      <xdr:colOff>428624</xdr:colOff>
      <xdr:row>31</xdr:row>
      <xdr:rowOff>59055</xdr:rowOff>
    </xdr:to>
    <xdr:graphicFrame>
      <xdr:nvGraphicFramePr>
        <xdr:cNvPr id="3" name="图表 2"/>
        <xdr:cNvGraphicFramePr/>
      </xdr:nvGraphicFramePr>
      <xdr:xfrm>
        <a:off x="5847715" y="601980"/>
        <a:ext cx="9877425" cy="5362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0.49443</cdr:x>
      <cdr:y>0.09151</cdr:y>
    </cdr:from>
    <cdr:to>
      <cdr:x>0.52676</cdr:x>
      <cdr:y>0.8802</cdr:y>
    </cdr:to>
    <cdr:cxnSp>
      <cdr:nvCxnSpPr>
        <cdr:cNvPr id="2" name="直線連接符 1"/>
        <cdr:cNvCxnSpPr/>
      </cdr:nvCxnSpPr>
      <cdr:spPr xmlns:a="http://schemas.openxmlformats.org/drawingml/2006/main">
        <a:xfrm xmlns:a="http://schemas.openxmlformats.org/drawingml/2006/main" flipH="1" flipV="1">
          <a:off x="4995784" y="441743"/>
          <a:ext cx="326666" cy="38072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0.67721</cdr:x>
      <cdr:y>0.08803</cdr:y>
    </cdr:from>
    <cdr:to>
      <cdr:x>0.70923</cdr:x>
      <cdr:y>0.87931</cdr:y>
    </cdr:to>
    <cdr:cxnSp>
      <cdr:nvCxnSpPr>
        <cdr:cNvPr id="3" name="直線連接符 2"/>
        <cdr:cNvCxnSpPr/>
      </cdr:nvCxnSpPr>
      <cdr:spPr xmlns:a="http://schemas.openxmlformats.org/drawingml/2006/main">
        <a:xfrm xmlns:a="http://schemas.openxmlformats.org/drawingml/2006/main" flipH="1" flipV="1">
          <a:off x="6842598" y="424945"/>
          <a:ext cx="323534" cy="381972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id="1" name="表3" displayName="表3" ref="A1:L10" totalsRowShown="0">
  <autoFilter xmlns:etc="http://www.wps.cn/officeDocument/2017/etCustomData" ref="A1:L10" etc:filterBottomFollowUsedRange="0"/>
  <sortState ref="A1:L10">
    <sortCondition ref="A1:A23" descending="1"/>
  </sortState>
  <tableColumns count="12">
    <tableColumn id="1" name="Date" dataDxfId="0"/>
    <tableColumn id="2" name="Auditor" dataDxfId="1"/>
    <tableColumn id="3" name="Project list" dataDxfId="2"/>
    <tableColumn id="4" name="列2" dataDxfId="3"/>
    <tableColumn id="9" name="列3"/>
    <tableColumn id="5" name="Status" dataDxfId="4"/>
    <tableColumn id="6" name="Responsible" dataDxfId="5"/>
    <tableColumn id="7" name="Due date" dataDxfId="6"/>
    <tableColumn id="11" name="列4" dataDxfId="7"/>
    <tableColumn id="10" name="列1" dataDxfId="8"/>
    <tableColumn id="13" name="列12" dataDxfId="9"/>
    <tableColumn id="8" name="Comments" dataDxfId="10"/>
  </tableColumns>
  <tableStyleInfo name="Employee Training Tracker - Log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62"/>
  <sheetViews>
    <sheetView tabSelected="1" zoomScale="85" zoomScaleNormal="85" workbookViewId="0">
      <selection activeCell="Q19" sqref="Q19"/>
    </sheetView>
  </sheetViews>
  <sheetFormatPr defaultColWidth="9" defaultRowHeight="15"/>
  <cols>
    <col min="2" max="2" width="23" hidden="1" customWidth="1"/>
    <col min="3" max="3" width="51.4285714285714" style="39" customWidth="1"/>
    <col min="4" max="4" width="6.57142857142857" style="40" customWidth="1"/>
    <col min="5" max="5" width="11" style="40" customWidth="1"/>
    <col min="6" max="6" width="8.85714285714286" style="41"/>
    <col min="7" max="7" width="28" customWidth="1"/>
    <col min="8" max="8" width="8.28571428571429" customWidth="1"/>
    <col min="9" max="9" width="61.2857142857143" customWidth="1"/>
  </cols>
  <sheetData>
    <row r="3" spans="3:3">
      <c r="C3" s="42"/>
    </row>
    <row r="4" spans="3:6">
      <c r="C4" s="43" t="s">
        <v>0</v>
      </c>
      <c r="D4" s="44" t="s">
        <v>1</v>
      </c>
      <c r="E4" s="44" t="s">
        <v>2</v>
      </c>
      <c r="F4" s="44" t="s">
        <v>3</v>
      </c>
    </row>
    <row r="5" spans="3:6">
      <c r="C5" s="45" t="s">
        <v>4</v>
      </c>
      <c r="D5" s="46">
        <v>90</v>
      </c>
      <c r="E5" s="46">
        <v>-7</v>
      </c>
      <c r="F5" s="46">
        <v>0.336</v>
      </c>
    </row>
    <row r="6" spans="3:6">
      <c r="C6" s="45" t="s">
        <v>5</v>
      </c>
      <c r="D6" s="46">
        <v>100</v>
      </c>
      <c r="E6" s="46">
        <v>31</v>
      </c>
      <c r="F6" s="46">
        <v>0.07</v>
      </c>
    </row>
    <row r="7" spans="3:6">
      <c r="C7" s="45" t="s">
        <v>6</v>
      </c>
      <c r="D7" s="46">
        <v>100</v>
      </c>
      <c r="E7" s="46">
        <v>-9</v>
      </c>
      <c r="F7" s="46">
        <v>0.138</v>
      </c>
    </row>
    <row r="8" spans="3:6">
      <c r="C8" s="45" t="s">
        <v>7</v>
      </c>
      <c r="D8" s="46">
        <v>90</v>
      </c>
      <c r="E8" s="46">
        <v>-1</v>
      </c>
      <c r="F8" s="46">
        <v>0.156</v>
      </c>
    </row>
    <row r="9" spans="3:6">
      <c r="C9" s="45" t="s">
        <v>8</v>
      </c>
      <c r="D9" s="46">
        <v>100</v>
      </c>
      <c r="E9" s="46">
        <v>-13</v>
      </c>
      <c r="F9" s="46">
        <v>0.276</v>
      </c>
    </row>
    <row r="10" spans="3:6">
      <c r="C10" s="45" t="s">
        <v>9</v>
      </c>
      <c r="D10" s="46">
        <v>100</v>
      </c>
      <c r="E10" s="46">
        <v>-12</v>
      </c>
      <c r="F10" s="46">
        <v>0.041</v>
      </c>
    </row>
    <row r="11" spans="3:6">
      <c r="C11" s="45" t="s">
        <v>10</v>
      </c>
      <c r="D11" s="46">
        <v>100</v>
      </c>
      <c r="E11" s="46">
        <v>-12</v>
      </c>
      <c r="F11" s="46">
        <v>0.064</v>
      </c>
    </row>
    <row r="12" spans="3:6">
      <c r="C12" s="43"/>
      <c r="D12" s="44"/>
      <c r="E12" s="44"/>
      <c r="F12" s="44"/>
    </row>
    <row r="13" spans="3:6">
      <c r="C13" s="43"/>
      <c r="D13" s="44"/>
      <c r="E13" s="44"/>
      <c r="F13" s="44"/>
    </row>
    <row r="14" spans="3:6">
      <c r="C14" s="43"/>
      <c r="D14" s="44"/>
      <c r="E14" s="44"/>
      <c r="F14" s="44"/>
    </row>
    <row r="15" spans="3:6">
      <c r="C15" s="43"/>
      <c r="D15" s="44"/>
      <c r="E15" s="44"/>
      <c r="F15" s="44"/>
    </row>
    <row r="16" spans="3:6">
      <c r="C16" s="43"/>
      <c r="D16" s="44"/>
      <c r="E16" s="44"/>
      <c r="F16" s="44"/>
    </row>
    <row r="17" spans="3:6">
      <c r="C17" s="43"/>
      <c r="D17" s="44"/>
      <c r="E17" s="44"/>
      <c r="F17" s="44"/>
    </row>
    <row r="18" spans="3:6">
      <c r="C18" s="43"/>
      <c r="D18" s="44"/>
      <c r="E18" s="44"/>
      <c r="F18" s="44"/>
    </row>
    <row r="19" spans="3:6">
      <c r="C19" s="43"/>
      <c r="D19" s="44"/>
      <c r="E19" s="44"/>
      <c r="F19" s="44"/>
    </row>
    <row r="20" spans="3:6">
      <c r="C20" s="43"/>
      <c r="D20" s="44"/>
      <c r="E20" s="44"/>
      <c r="F20" s="44"/>
    </row>
    <row r="21" spans="3:6">
      <c r="C21" s="43"/>
      <c r="D21" s="44"/>
      <c r="E21" s="44"/>
      <c r="F21" s="44"/>
    </row>
    <row r="22" spans="3:6">
      <c r="C22" s="43"/>
      <c r="D22" s="44"/>
      <c r="E22" s="44"/>
      <c r="F22" s="44"/>
    </row>
    <row r="23" spans="3:6">
      <c r="C23" s="43"/>
      <c r="D23" s="44"/>
      <c r="E23" s="44"/>
      <c r="F23" s="44"/>
    </row>
    <row r="24" spans="3:6">
      <c r="C24" s="43"/>
      <c r="D24" s="44"/>
      <c r="E24" s="44"/>
      <c r="F24" s="44"/>
    </row>
    <row r="25" spans="3:6">
      <c r="C25" s="43"/>
      <c r="D25" s="44"/>
      <c r="E25" s="44"/>
      <c r="F25" s="44"/>
    </row>
    <row r="26" spans="3:6">
      <c r="C26" s="43"/>
      <c r="D26" s="44"/>
      <c r="E26" s="44"/>
      <c r="F26" s="44"/>
    </row>
    <row r="27" spans="3:6">
      <c r="C27" s="43"/>
      <c r="D27" s="44"/>
      <c r="E27" s="44"/>
      <c r="F27" s="44"/>
    </row>
    <row r="28" spans="3:6">
      <c r="C28" s="43"/>
      <c r="D28" s="44"/>
      <c r="E28" s="44"/>
      <c r="F28" s="44"/>
    </row>
    <row r="29" spans="3:6">
      <c r="C29" s="43"/>
      <c r="D29" s="44"/>
      <c r="E29" s="44"/>
      <c r="F29" s="44"/>
    </row>
    <row r="30" spans="2:6">
      <c r="B30" s="47"/>
      <c r="C30" s="43"/>
      <c r="D30" s="44"/>
      <c r="E30" s="44"/>
      <c r="F30" s="44"/>
    </row>
    <row r="31" spans="2:6">
      <c r="B31" s="47"/>
      <c r="C31" s="43"/>
      <c r="D31" s="44"/>
      <c r="E31" s="44"/>
      <c r="F31" s="44"/>
    </row>
    <row r="32" spans="2:6">
      <c r="B32" s="47"/>
      <c r="C32" s="43"/>
      <c r="D32" s="44"/>
      <c r="E32" s="44"/>
      <c r="F32" s="44"/>
    </row>
    <row r="33" spans="2:6">
      <c r="B33" s="47"/>
      <c r="C33" s="43"/>
      <c r="D33" s="44"/>
      <c r="E33" s="44"/>
      <c r="F33" s="48"/>
    </row>
    <row r="34" spans="2:6">
      <c r="B34" s="47"/>
      <c r="C34" s="43"/>
      <c r="D34" s="49"/>
      <c r="E34" s="49"/>
      <c r="F34" s="50"/>
    </row>
    <row r="35" spans="2:6">
      <c r="B35" s="47"/>
      <c r="C35" s="51"/>
      <c r="D35" s="41"/>
      <c r="E35" s="52"/>
      <c r="F35"/>
    </row>
    <row r="36" spans="2:9">
      <c r="B36" s="47"/>
      <c r="C36" s="51"/>
      <c r="D36" s="41"/>
      <c r="E36" s="52"/>
      <c r="F36"/>
      <c r="G36" s="53" t="s">
        <v>11</v>
      </c>
      <c r="H36" s="53" t="s">
        <v>12</v>
      </c>
      <c r="I36" s="53" t="s">
        <v>13</v>
      </c>
    </row>
    <row r="37" spans="2:9">
      <c r="B37" s="47"/>
      <c r="C37" s="51"/>
      <c r="D37" s="41"/>
      <c r="E37" s="52"/>
      <c r="F37"/>
      <c r="G37" s="54"/>
      <c r="H37" s="55"/>
      <c r="I37" s="60"/>
    </row>
    <row r="38" ht="42.6" customHeight="1" spans="2:9">
      <c r="B38" s="47"/>
      <c r="C38" s="51"/>
      <c r="D38" s="41"/>
      <c r="E38" s="52"/>
      <c r="F38"/>
      <c r="G38" s="55"/>
      <c r="H38" s="55"/>
      <c r="I38" s="60"/>
    </row>
    <row r="39" ht="36" customHeight="1" spans="2:9">
      <c r="B39" s="47"/>
      <c r="C39" s="51"/>
      <c r="D39" s="41"/>
      <c r="E39" s="52"/>
      <c r="F39"/>
      <c r="G39" s="56"/>
      <c r="H39" s="55"/>
      <c r="I39" s="60"/>
    </row>
    <row r="40" spans="2:9">
      <c r="B40" s="47"/>
      <c r="C40" s="51"/>
      <c r="D40" s="41"/>
      <c r="E40" s="52"/>
      <c r="F40"/>
      <c r="G40" s="57"/>
      <c r="H40" s="57"/>
      <c r="I40" s="61"/>
    </row>
    <row r="41" spans="7:7">
      <c r="G41" t="s">
        <v>14</v>
      </c>
    </row>
    <row r="42" spans="5:15">
      <c r="E42" s="58"/>
      <c r="G42" t="s">
        <v>15</v>
      </c>
      <c r="O42" t="s">
        <v>16</v>
      </c>
    </row>
    <row r="43" spans="5:9">
      <c r="E43" s="59"/>
      <c r="G43" t="s">
        <v>17</v>
      </c>
      <c r="I43">
        <v>-10</v>
      </c>
    </row>
    <row r="44" spans="5:9">
      <c r="E44" s="59"/>
      <c r="G44" t="s">
        <v>18</v>
      </c>
      <c r="I44">
        <v>-20</v>
      </c>
    </row>
    <row r="45" spans="5:9">
      <c r="E45" s="59"/>
      <c r="G45" t="s">
        <v>19</v>
      </c>
      <c r="I45">
        <v>-30</v>
      </c>
    </row>
    <row r="46" spans="7:9">
      <c r="G46" t="s">
        <v>20</v>
      </c>
      <c r="I46">
        <v>-40</v>
      </c>
    </row>
    <row r="47" spans="7:9">
      <c r="G47" t="s">
        <v>21</v>
      </c>
      <c r="I47">
        <v>-50</v>
      </c>
    </row>
    <row r="48" spans="7:9">
      <c r="G48" t="s">
        <v>22</v>
      </c>
      <c r="I48">
        <v>-50</v>
      </c>
    </row>
    <row r="49" spans="7:9">
      <c r="G49" t="s">
        <v>23</v>
      </c>
      <c r="I49">
        <v>-50</v>
      </c>
    </row>
    <row r="50" spans="7:9">
      <c r="G50" t="s">
        <v>24</v>
      </c>
      <c r="I50">
        <v>-50</v>
      </c>
    </row>
    <row r="51" spans="7:9">
      <c r="G51" t="s">
        <v>25</v>
      </c>
      <c r="I51">
        <v>-50</v>
      </c>
    </row>
    <row r="53" spans="7:7">
      <c r="G53" t="s">
        <v>26</v>
      </c>
    </row>
    <row r="54" spans="7:9">
      <c r="G54" t="s">
        <v>27</v>
      </c>
      <c r="I54">
        <v>-60</v>
      </c>
    </row>
    <row r="55" spans="7:9">
      <c r="G55" t="s">
        <v>28</v>
      </c>
      <c r="I55">
        <v>-70</v>
      </c>
    </row>
    <row r="56" spans="7:9">
      <c r="G56" t="s">
        <v>29</v>
      </c>
      <c r="I56">
        <v>-80</v>
      </c>
    </row>
    <row r="57" spans="7:9">
      <c r="G57" t="s">
        <v>30</v>
      </c>
      <c r="I57">
        <v>-90</v>
      </c>
    </row>
    <row r="58" spans="7:9">
      <c r="G58" t="s">
        <v>31</v>
      </c>
      <c r="I58">
        <v>-100</v>
      </c>
    </row>
    <row r="59" spans="7:9">
      <c r="G59" t="s">
        <v>32</v>
      </c>
      <c r="I59">
        <v>-100</v>
      </c>
    </row>
    <row r="60" spans="7:9">
      <c r="G60" t="s">
        <v>33</v>
      </c>
      <c r="I60">
        <v>-100</v>
      </c>
    </row>
    <row r="61" spans="7:9">
      <c r="G61" t="s">
        <v>34</v>
      </c>
      <c r="I61">
        <v>-100</v>
      </c>
    </row>
    <row r="62" spans="7:9">
      <c r="G62" t="s">
        <v>35</v>
      </c>
      <c r="I62">
        <v>-100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  <pageSetUpPr fitToPage="1"/>
  </sheetPr>
  <dimension ref="A1:N26"/>
  <sheetViews>
    <sheetView showGridLines="0" zoomScaleSheetLayoutView="160" topLeftCell="B9" workbookViewId="0">
      <selection activeCell="L11" sqref="L11"/>
    </sheetView>
  </sheetViews>
  <sheetFormatPr defaultColWidth="8.14285714285714" defaultRowHeight="18" customHeight="1"/>
  <cols>
    <col min="1" max="1" width="13.4285714285714" style="2" customWidth="1"/>
    <col min="2" max="2" width="14.4285714285714" style="2" customWidth="1"/>
    <col min="3" max="3" width="11.5714285714286" style="2" customWidth="1"/>
    <col min="4" max="4" width="58.4285714285714" style="3" customWidth="1"/>
    <col min="5" max="5" width="45.5714285714286" style="3" customWidth="1"/>
    <col min="6" max="6" width="9.85714285714286" style="3" customWidth="1"/>
    <col min="7" max="7" width="16.4285714285714" style="4" customWidth="1"/>
    <col min="8" max="11" width="12.4285714285714" style="4" customWidth="1"/>
    <col min="12" max="12" width="51.4285714285714" style="2" customWidth="1"/>
    <col min="13" max="16384" width="8.14285714285714" style="2"/>
  </cols>
  <sheetData>
    <row r="1" ht="15" spans="1:12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26" t="s">
        <v>44</v>
      </c>
      <c r="J1" s="26" t="s">
        <v>45</v>
      </c>
      <c r="K1" s="26" t="s">
        <v>46</v>
      </c>
      <c r="L1" s="27" t="s">
        <v>47</v>
      </c>
    </row>
    <row r="2" s="1" customFormat="1" ht="99.75" spans="1:12">
      <c r="A2" s="6">
        <v>45561</v>
      </c>
      <c r="B2" s="7" t="s">
        <v>48</v>
      </c>
      <c r="C2" s="8">
        <v>30023947</v>
      </c>
      <c r="D2" s="9" t="s">
        <v>49</v>
      </c>
      <c r="E2" s="9" t="s">
        <v>50</v>
      </c>
      <c r="F2" s="10" t="s">
        <v>51</v>
      </c>
      <c r="G2" s="11" t="s">
        <v>52</v>
      </c>
      <c r="H2" s="6">
        <v>45564</v>
      </c>
      <c r="I2" s="28">
        <v>60</v>
      </c>
      <c r="J2" s="28">
        <v>0</v>
      </c>
      <c r="K2" s="28">
        <v>0.034</v>
      </c>
      <c r="L2" s="29" t="s">
        <v>53</v>
      </c>
    </row>
    <row r="3" s="1" customFormat="1" ht="99.75" spans="1:12">
      <c r="A3" s="6">
        <v>45560</v>
      </c>
      <c r="B3" s="7" t="s">
        <v>48</v>
      </c>
      <c r="C3" s="8">
        <v>30023525</v>
      </c>
      <c r="D3" s="9" t="s">
        <v>54</v>
      </c>
      <c r="E3" s="9" t="s">
        <v>55</v>
      </c>
      <c r="F3" s="10" t="s">
        <v>51</v>
      </c>
      <c r="G3" s="11" t="s">
        <v>56</v>
      </c>
      <c r="H3" s="6">
        <v>45562</v>
      </c>
      <c r="I3" s="28">
        <v>50</v>
      </c>
      <c r="J3" s="28">
        <v>0</v>
      </c>
      <c r="K3" s="28">
        <v>0.058</v>
      </c>
      <c r="L3" s="29" t="s">
        <v>57</v>
      </c>
    </row>
    <row r="4" s="1" customFormat="1" ht="71.25" spans="1:12">
      <c r="A4" s="6">
        <v>45559</v>
      </c>
      <c r="B4" s="7" t="s">
        <v>58</v>
      </c>
      <c r="C4" s="8">
        <v>30022666</v>
      </c>
      <c r="D4" s="9" t="s">
        <v>59</v>
      </c>
      <c r="E4" s="9" t="s">
        <v>60</v>
      </c>
      <c r="F4" s="10" t="s">
        <v>51</v>
      </c>
      <c r="G4" s="11" t="s">
        <v>61</v>
      </c>
      <c r="H4" s="6">
        <v>45583</v>
      </c>
      <c r="I4" s="28">
        <v>80</v>
      </c>
      <c r="J4" s="28">
        <v>-3</v>
      </c>
      <c r="K4" s="28">
        <v>0.195</v>
      </c>
      <c r="L4" s="29" t="s">
        <v>62</v>
      </c>
    </row>
    <row r="5" ht="99.75" spans="1:12">
      <c r="A5" s="6">
        <v>45555</v>
      </c>
      <c r="B5" s="7" t="s">
        <v>58</v>
      </c>
      <c r="C5" s="8">
        <v>30022345</v>
      </c>
      <c r="D5" s="9" t="s">
        <v>63</v>
      </c>
      <c r="E5" s="9" t="s">
        <v>4</v>
      </c>
      <c r="F5" s="10" t="s">
        <v>51</v>
      </c>
      <c r="G5" s="11" t="s">
        <v>64</v>
      </c>
      <c r="H5" s="6">
        <v>45578</v>
      </c>
      <c r="I5" s="28">
        <v>80</v>
      </c>
      <c r="J5" s="28">
        <v>-3</v>
      </c>
      <c r="K5" s="28">
        <v>0.1</v>
      </c>
      <c r="L5" s="29" t="s">
        <v>65</v>
      </c>
    </row>
    <row r="6" s="1" customFormat="1" ht="42.75" spans="1:12">
      <c r="A6" s="12">
        <v>45546</v>
      </c>
      <c r="B6" s="13" t="s">
        <v>58</v>
      </c>
      <c r="C6" s="14">
        <v>30022299</v>
      </c>
      <c r="D6" s="15" t="s">
        <v>66</v>
      </c>
      <c r="E6" s="15" t="s">
        <v>67</v>
      </c>
      <c r="F6" s="16" t="s">
        <v>51</v>
      </c>
      <c r="G6" s="17" t="s">
        <v>68</v>
      </c>
      <c r="H6" s="12" t="s">
        <v>69</v>
      </c>
      <c r="I6" s="30">
        <v>60</v>
      </c>
      <c r="J6" s="30">
        <v>-4</v>
      </c>
      <c r="K6" s="30">
        <v>0.105</v>
      </c>
      <c r="L6" s="31" t="s">
        <v>70</v>
      </c>
    </row>
    <row r="7" s="1" customFormat="1" ht="99.75" spans="1:12">
      <c r="A7" s="12">
        <v>45541</v>
      </c>
      <c r="B7" s="13" t="s">
        <v>58</v>
      </c>
      <c r="C7" s="14">
        <v>30023478</v>
      </c>
      <c r="D7" s="15" t="s">
        <v>71</v>
      </c>
      <c r="E7" s="15" t="s">
        <v>72</v>
      </c>
      <c r="F7" s="16" t="s">
        <v>51</v>
      </c>
      <c r="G7" s="17" t="s">
        <v>73</v>
      </c>
      <c r="H7" s="12">
        <v>45548</v>
      </c>
      <c r="I7" s="30">
        <v>70</v>
      </c>
      <c r="J7" s="30">
        <v>-1</v>
      </c>
      <c r="K7" s="30">
        <v>0.107</v>
      </c>
      <c r="L7" s="31" t="s">
        <v>74</v>
      </c>
    </row>
    <row r="8" s="1" customFormat="1" ht="28.5" spans="1:12">
      <c r="A8" s="12">
        <v>45540</v>
      </c>
      <c r="B8" s="13" t="s">
        <v>48</v>
      </c>
      <c r="C8" s="14">
        <v>30022447</v>
      </c>
      <c r="D8" s="15" t="s">
        <v>75</v>
      </c>
      <c r="E8" s="15" t="s">
        <v>76</v>
      </c>
      <c r="F8" s="16" t="s">
        <v>51</v>
      </c>
      <c r="G8" s="17" t="s">
        <v>77</v>
      </c>
      <c r="H8" s="12">
        <v>45548</v>
      </c>
      <c r="I8" s="30">
        <v>90</v>
      </c>
      <c r="J8" s="30">
        <v>-1</v>
      </c>
      <c r="K8" s="30">
        <v>0.132</v>
      </c>
      <c r="L8" s="31" t="s">
        <v>78</v>
      </c>
    </row>
    <row r="9" s="1" customFormat="1" ht="99.75" spans="1:12">
      <c r="A9" s="18">
        <v>45533</v>
      </c>
      <c r="B9" s="19" t="s">
        <v>58</v>
      </c>
      <c r="C9" s="20">
        <v>30023381</v>
      </c>
      <c r="D9" s="21" t="s">
        <v>79</v>
      </c>
      <c r="E9" s="15" t="s">
        <v>80</v>
      </c>
      <c r="F9" s="16" t="s">
        <v>51</v>
      </c>
      <c r="G9" s="22" t="s">
        <v>81</v>
      </c>
      <c r="H9" s="18">
        <v>45549</v>
      </c>
      <c r="I9" s="32">
        <v>70</v>
      </c>
      <c r="J9" s="32">
        <v>-2</v>
      </c>
      <c r="K9" s="32">
        <v>0.195</v>
      </c>
      <c r="L9" s="33" t="s">
        <v>82</v>
      </c>
    </row>
    <row r="10" s="1" customFormat="1" ht="85.5" spans="1:12">
      <c r="A10" s="18">
        <v>45532</v>
      </c>
      <c r="B10" s="19" t="s">
        <v>58</v>
      </c>
      <c r="C10" s="20">
        <v>30022712</v>
      </c>
      <c r="D10" s="21" t="s">
        <v>83</v>
      </c>
      <c r="E10" s="15" t="s">
        <v>84</v>
      </c>
      <c r="F10" s="16" t="s">
        <v>51</v>
      </c>
      <c r="G10" s="22" t="s">
        <v>85</v>
      </c>
      <c r="H10" s="18">
        <v>45532</v>
      </c>
      <c r="I10" s="32">
        <v>60</v>
      </c>
      <c r="J10" s="32">
        <v>0</v>
      </c>
      <c r="K10" s="32">
        <v>0.04</v>
      </c>
      <c r="L10" s="33" t="s">
        <v>86</v>
      </c>
    </row>
    <row r="11" s="1" customFormat="1" ht="189.75" spans="1:12">
      <c r="A11" s="23"/>
      <c r="B11" s="24"/>
      <c r="C11" s="24">
        <v>30022845</v>
      </c>
      <c r="D11" s="24" t="s">
        <v>87</v>
      </c>
      <c r="E11" s="25" t="s">
        <v>88</v>
      </c>
      <c r="F11" s="24" t="s">
        <v>89</v>
      </c>
      <c r="G11" s="24"/>
      <c r="H11" s="24"/>
      <c r="I11" s="34">
        <v>10</v>
      </c>
      <c r="J11" s="34">
        <v>0</v>
      </c>
      <c r="K11" s="35">
        <v>0.07</v>
      </c>
      <c r="L11" s="36" t="s">
        <v>90</v>
      </c>
    </row>
    <row r="12" s="1" customFormat="1" ht="45" spans="1:12">
      <c r="A12" s="23"/>
      <c r="B12" s="24"/>
      <c r="C12" s="24">
        <v>30016848</v>
      </c>
      <c r="D12" s="24"/>
      <c r="E12" s="25" t="s">
        <v>91</v>
      </c>
      <c r="F12" s="24" t="s">
        <v>51</v>
      </c>
      <c r="G12" s="24"/>
      <c r="H12" s="24"/>
      <c r="I12" s="34">
        <v>80</v>
      </c>
      <c r="J12" s="34">
        <v>1</v>
      </c>
      <c r="K12" s="34">
        <v>0.096</v>
      </c>
      <c r="L12" s="37" t="s">
        <v>92</v>
      </c>
    </row>
    <row r="13" s="1" customFormat="1" ht="14.25" spans="1:12">
      <c r="A13" s="23"/>
      <c r="B13" s="24"/>
      <c r="C13" s="24">
        <v>30021618</v>
      </c>
      <c r="D13" s="24" t="s">
        <v>93</v>
      </c>
      <c r="E13" s="25" t="s">
        <v>94</v>
      </c>
      <c r="F13" s="24"/>
      <c r="G13" s="24"/>
      <c r="H13" s="24"/>
      <c r="I13" s="34">
        <v>100</v>
      </c>
      <c r="J13" s="34">
        <v>-2</v>
      </c>
      <c r="K13" s="34">
        <v>0.008</v>
      </c>
      <c r="L13" s="24"/>
    </row>
    <row r="14" s="1" customFormat="1" ht="14.25" spans="1:12">
      <c r="A14" s="23"/>
      <c r="B14" s="24"/>
      <c r="C14" s="24">
        <v>30021325</v>
      </c>
      <c r="D14" s="24" t="s">
        <v>95</v>
      </c>
      <c r="E14" s="25" t="s">
        <v>96</v>
      </c>
      <c r="F14" s="24"/>
      <c r="G14" s="24"/>
      <c r="H14" s="24"/>
      <c r="I14" s="34">
        <v>100</v>
      </c>
      <c r="J14" s="34">
        <v>0</v>
      </c>
      <c r="K14" s="34">
        <v>0.115</v>
      </c>
      <c r="L14" s="24"/>
    </row>
    <row r="15" s="1" customFormat="1" ht="14.25" spans="1:12">
      <c r="A15" s="23"/>
      <c r="B15" s="24"/>
      <c r="C15" s="24">
        <v>30021200</v>
      </c>
      <c r="D15" s="24" t="s">
        <v>97</v>
      </c>
      <c r="E15" s="25" t="s">
        <v>98</v>
      </c>
      <c r="F15" s="24"/>
      <c r="G15" s="24"/>
      <c r="H15" s="24"/>
      <c r="I15" s="34">
        <v>100</v>
      </c>
      <c r="J15" s="34">
        <v>0</v>
      </c>
      <c r="K15" s="34">
        <v>0.065</v>
      </c>
      <c r="L15" s="24"/>
    </row>
    <row r="16" s="1" customFormat="1" ht="14.25" spans="1:12">
      <c r="A16" s="23"/>
      <c r="B16" s="24"/>
      <c r="C16" s="24">
        <v>30022663</v>
      </c>
      <c r="D16" s="24" t="s">
        <v>99</v>
      </c>
      <c r="E16" s="25" t="s">
        <v>100</v>
      </c>
      <c r="F16" s="24"/>
      <c r="G16" s="24"/>
      <c r="H16" s="24"/>
      <c r="I16" s="34">
        <v>100</v>
      </c>
      <c r="J16" s="34">
        <v>0</v>
      </c>
      <c r="K16" s="34">
        <v>0.065</v>
      </c>
      <c r="L16" s="24"/>
    </row>
    <row r="17" s="1" customFormat="1" ht="14.25" spans="1:12">
      <c r="A17" s="23"/>
      <c r="B17" s="24"/>
      <c r="C17" s="24">
        <v>30022681</v>
      </c>
      <c r="D17" s="24" t="s">
        <v>101</v>
      </c>
      <c r="E17" s="25" t="s">
        <v>102</v>
      </c>
      <c r="F17" s="24"/>
      <c r="G17" s="24"/>
      <c r="H17" s="24"/>
      <c r="I17" s="34">
        <v>100</v>
      </c>
      <c r="J17" s="34">
        <v>1</v>
      </c>
      <c r="K17" s="34">
        <v>0.114</v>
      </c>
      <c r="L17" s="24"/>
    </row>
    <row r="18" s="1" customFormat="1" ht="14.25" spans="1:12">
      <c r="A18" s="23"/>
      <c r="B18" s="24"/>
      <c r="C18" s="24">
        <v>30022060</v>
      </c>
      <c r="D18" s="24" t="s">
        <v>103</v>
      </c>
      <c r="E18" s="25" t="s">
        <v>104</v>
      </c>
      <c r="F18" s="24"/>
      <c r="G18" s="24"/>
      <c r="H18" s="24"/>
      <c r="I18" s="34">
        <v>100</v>
      </c>
      <c r="J18" s="34">
        <v>-1</v>
      </c>
      <c r="K18" s="34">
        <v>0.041</v>
      </c>
      <c r="L18" s="24"/>
    </row>
    <row r="19" s="1" customFormat="1" ht="14.25" spans="1:12">
      <c r="A19" s="23"/>
      <c r="B19" s="24"/>
      <c r="C19" s="24">
        <v>30020435</v>
      </c>
      <c r="D19" s="24" t="s">
        <v>105</v>
      </c>
      <c r="E19" s="25" t="s">
        <v>106</v>
      </c>
      <c r="F19" s="24"/>
      <c r="G19" s="24"/>
      <c r="H19" s="24"/>
      <c r="I19" s="34">
        <v>100</v>
      </c>
      <c r="J19" s="34">
        <v>0</v>
      </c>
      <c r="K19" s="34">
        <v>0.103</v>
      </c>
      <c r="L19" s="24"/>
    </row>
    <row r="20" s="1" customFormat="1" ht="14.25" spans="1:12">
      <c r="A20" s="23"/>
      <c r="B20" s="24"/>
      <c r="C20" s="24"/>
      <c r="D20" s="24"/>
      <c r="E20" s="25"/>
      <c r="F20" s="24"/>
      <c r="G20" s="24"/>
      <c r="H20" s="24"/>
      <c r="I20" s="34"/>
      <c r="J20" s="34"/>
      <c r="K20" s="34"/>
      <c r="L20" s="24"/>
    </row>
    <row r="21" s="1" customFormat="1" ht="14.25" spans="1:14">
      <c r="A21" s="23"/>
      <c r="B21" s="24"/>
      <c r="C21" s="24">
        <v>30017451</v>
      </c>
      <c r="D21" s="24" t="s">
        <v>107</v>
      </c>
      <c r="E21" s="25" t="s">
        <v>108</v>
      </c>
      <c r="F21" s="24"/>
      <c r="G21" s="24"/>
      <c r="H21" s="24"/>
      <c r="I21" s="34">
        <v>100</v>
      </c>
      <c r="J21" s="34">
        <v>1</v>
      </c>
      <c r="K21" s="38">
        <v>0.431</v>
      </c>
      <c r="L21" s="24"/>
      <c r="N21" s="1" t="s">
        <v>109</v>
      </c>
    </row>
    <row r="22" s="1" customFormat="1" ht="14.25" spans="1:12">
      <c r="A22" s="23"/>
      <c r="B22" s="24"/>
      <c r="C22" s="24">
        <v>30017228</v>
      </c>
      <c r="D22" s="24" t="s">
        <v>110</v>
      </c>
      <c r="E22" s="25" t="s">
        <v>111</v>
      </c>
      <c r="F22" s="24"/>
      <c r="G22" s="24"/>
      <c r="H22" s="24"/>
      <c r="I22" s="34">
        <v>100</v>
      </c>
      <c r="J22" s="34">
        <v>1</v>
      </c>
      <c r="K22" s="38">
        <v>0.468</v>
      </c>
      <c r="L22" s="24"/>
    </row>
    <row r="23" ht="15"/>
    <row r="25" ht="15"/>
    <row r="26" ht="15"/>
  </sheetData>
  <conditionalFormatting sqref="F2:F10">
    <cfRule type="expression" dxfId="11" priority="1">
      <formula>$F2="-"</formula>
    </cfRule>
    <cfRule type="expression" dxfId="12" priority="2">
      <formula>$F2="B"</formula>
    </cfRule>
    <cfRule type="expression" dxfId="13" priority="3">
      <formula>$F2="G"</formula>
    </cfRule>
    <cfRule type="expression" dxfId="14" priority="4">
      <formula>$F2="R"</formula>
    </cfRule>
    <cfRule type="expression" dxfId="15" priority="5">
      <formula>$F2="Y"</formula>
    </cfRule>
  </conditionalFormatting>
  <conditionalFormatting sqref="A2:A4 G2:L10 A6:A10">
    <cfRule type="expression" dxfId="16" priority="6">
      <formula>$F2="Fail"</formula>
    </cfRule>
  </conditionalFormatting>
  <dataValidations count="1">
    <dataValidation type="list" allowBlank="1" showInputMessage="1" errorTitle="Whoops!" error="This should be a Pass, Fail or Future value." sqref="F2:F11" errorStyle="warning">
      <formula1>"G,B,Y,R"</formula1>
    </dataValidation>
  </dataValidations>
  <printOptions horizontalCentered="1"/>
  <pageMargins left="0.25" right="0.25" top="0.75" bottom="0.75" header="0.3" footer="0.3"/>
  <pageSetup paperSize="1" scale="92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XSO Ranking Bubble chart</vt:lpstr>
      <vt:lpstr>过程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Fan,Jiejie (YFI,Jack,Shanghai,CN)</dc:creator>
  <cp:lastModifiedBy>uxuxs004</cp:lastModifiedBy>
  <dcterms:created xsi:type="dcterms:W3CDTF">2015-06-05T18:19:00Z</dcterms:created>
  <dcterms:modified xsi:type="dcterms:W3CDTF">2026-04-30T07:23:13Z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147D4773372140A582916C48BBF20AEA_12</vt:lpwstr>
  </property>
  <property fmtid="{D5CDD505-2E9C-101B-9397-08002B2CF9AE}" pid="3" name="KSOProductBuildVer">
    <vt:lpwstr>3076-12.2.0.22549</vt:lpwstr>
  </property>
</Properties>
</file>