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2025" sheetId="1" r:id="rId1"/>
    <sheet name="2026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<sst xmlns="http://schemas.openxmlformats.org/spreadsheetml/2006/main" count="128" uniqueCount="64">
  <si>
    <t>周数</t>
  </si>
  <si>
    <t>领用</t>
  </si>
  <si>
    <t>隔离</t>
  </si>
  <si>
    <t>累计</t>
  </si>
  <si>
    <t>EIC NA</t>
  </si>
  <si>
    <t>退库</t>
  </si>
  <si>
    <t>每周需复用</t>
  </si>
  <si>
    <t>CW01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</si>
  <si>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</si>
  <si>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</si>
  <si>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</si>
  <si>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</si>
  <si>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</si>
  <si>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</si>
  <si>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</si>
  <si>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</si>
  <si>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</si>
  <si>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</si>
  <si>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</si>
  <si>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CW13</t>
  </si>
  <si>
    <t>CW14</t>
  </si>
  <si>
    <t>CW15</t>
  </si>
  <si>
    <t>CW16</t>
  </si>
  <si>
    <t>CW17</t>
  </si>
  <si>
    <t>CW18</t>
  </si>
  <si>
    <t>CW19</t>
  </si>
  <si>
    <t>CW20</t>
  </si>
  <si>
    <t>CW21</t>
  </si>
  <si>
    <t>CW22</t>
  </si>
  <si>
    <t>CW23</t>
  </si>
  <si>
    <t>CW24</t>
  </si>
  <si>
    <t>CW25</t>
  </si>
  <si>
    <t>CW26</t>
  </si>
  <si>
    <t>CW27</t>
  </si>
  <si>
    <t>CW28</t>
  </si>
  <si>
    <t>CW29</t>
  </si>
  <si>
    <t>CW30</t>
  </si>
  <si>
    <t>CW31</t>
  </si>
  <si>
    <t>CW32</t>
  </si>
  <si>
    <t>CW33</t>
  </si>
  <si>
    <t>CW34</t>
  </si>
  <si>
    <t>CW35</t>
  </si>
  <si>
    <t>CW36</t>
  </si>
  <si>
    <t>CW37</t>
  </si>
  <si>
    <t>CW38</t>
  </si>
  <si>
    <t>CW39</t>
  </si>
  <si>
    <t>CW40</t>
  </si>
  <si>
    <t>CW41</t>
  </si>
  <si>
    <t>CW42</t>
  </si>
  <si>
    <t>CW43</t>
  </si>
  <si>
    <t>CW44</t>
  </si>
  <si>
    <t>CW45</t>
  </si>
  <si>
    <t>CW46</t>
  </si>
  <si>
    <t>CW47</t>
  </si>
  <si>
    <t>CW48</t>
  </si>
  <si>
    <t>CW49</t>
  </si>
  <si>
    <t>CW50</t>
  </si>
  <si>
    <t>CW51</t>
  </si>
  <si>
    <t>CW52</t>
  </si>
  <si>
    <t>总计</t>
  </si>
  <si>
    <t>2026累计</t>
  </si>
  <si>
    <t>2025参考</t>
  </si>
  <si>
    <t>2025累计</t>
  </si>
  <si>
    <t>2026年度目标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</si>
</sst>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right" vertical="center" wrapText="1"/>
    </xf>
    <xf numFmtId="176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right" vertical="center" wrapText="1"/>
    </xf>
    <xf numFmtId="176" fontId="0" fillId="0" borderId="0" xfId="0" applyNumberFormat="1" applyAlignment="1">
      <alignment vertical="center" wrapText="1"/>
    </xf>
    <xf numFmtId="0" fontId="0" fillId="0" borderId="0" xfId="0" applyAlignment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'2025'!$C$1</c:f>
              <c:strCache>
                <c:ptCount val="1"/>
                <c:pt idx="0">
                  <c:v>领用</c:v>
                </c:pt>
              </c:strCache>
            </c:strRef>
          </c:tx>
          <c:spPr>
            <a:solidFill>
              <a:schemeClr val="lt1"/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3"/>
                  <c:y val="0.19356433380007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15608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'2025'!$C$2:$C$53</c:f>
              <c:numCache>
                <c:formatCode>#,##0_);[Red]\(#,##0\)</c:formatCode>
                <c:ptCount val="52"/>
                <c:pt idx="0">
                  <c:v>168169</c:v>
                </c:pt>
                <c:pt idx="1">
                  <c:v>79084</c:v>
                </c:pt>
                <c:pt idx="2">
                  <c:v>150356</c:v>
                </c:pt>
                <c:pt idx="3">
                  <c:v>37724</c:v>
                </c:pt>
                <c:pt idx="4">
                  <c:v>81829</c:v>
                </c:pt>
                <c:pt idx="5">
                  <c:v>15411</c:v>
                </c:pt>
                <c:pt idx="6">
                  <c:v>186502</c:v>
                </c:pt>
                <c:pt idx="7">
                  <c:v>50831</c:v>
                </c:pt>
                <c:pt idx="8">
                  <c:v>61102</c:v>
                </c:pt>
                <c:pt idx="9">
                  <c:v>430305</c:v>
                </c:pt>
                <c:pt idx="10">
                  <c:v>148291</c:v>
                </c:pt>
                <c:pt idx="11">
                  <c:v>218013</c:v>
                </c:pt>
                <c:pt idx="12">
                  <c:v>552249</c:v>
                </c:pt>
                <c:pt idx="13">
                  <c:v>264931</c:v>
                </c:pt>
                <c:pt idx="14">
                  <c:v>260117</c:v>
                </c:pt>
                <c:pt idx="15">
                  <c:v>232492</c:v>
                </c:pt>
                <c:pt idx="16">
                  <c:v>356378</c:v>
                </c:pt>
                <c:pt idx="17">
                  <c:v>89241</c:v>
                </c:pt>
                <c:pt idx="18">
                  <c:v>52231</c:v>
                </c:pt>
                <c:pt idx="19">
                  <c:v>81989</c:v>
                </c:pt>
                <c:pt idx="20">
                  <c:v>176729</c:v>
                </c:pt>
                <c:pt idx="21">
                  <c:v>82269</c:v>
                </c:pt>
                <c:pt idx="22">
                  <c:v>109416</c:v>
                </c:pt>
                <c:pt idx="23">
                  <c:v>224657</c:v>
                </c:pt>
                <c:pt idx="24">
                  <c:v>210494</c:v>
                </c:pt>
                <c:pt idx="25">
                  <c:v>184095</c:v>
                </c:pt>
                <c:pt idx="26">
                  <c:v>308691</c:v>
                </c:pt>
                <c:pt idx="27">
                  <c:v>123492</c:v>
                </c:pt>
                <c:pt idx="28">
                  <c:v>70855</c:v>
                </c:pt>
                <c:pt idx="29">
                  <c:v>151076</c:v>
                </c:pt>
                <c:pt idx="30">
                  <c:v>160730</c:v>
                </c:pt>
                <c:pt idx="31">
                  <c:v>233661</c:v>
                </c:pt>
                <c:pt idx="32">
                  <c:v>67371</c:v>
                </c:pt>
                <c:pt idx="33">
                  <c:v>67824</c:v>
                </c:pt>
                <c:pt idx="34">
                  <c:v>164800</c:v>
                </c:pt>
                <c:pt idx="35">
                  <c:v>41801</c:v>
                </c:pt>
                <c:pt idx="36">
                  <c:v>107343</c:v>
                </c:pt>
                <c:pt idx="37">
                  <c:v>155426</c:v>
                </c:pt>
                <c:pt idx="38">
                  <c:v>26922</c:v>
                </c:pt>
                <c:pt idx="39">
                  <c:v>15554</c:v>
                </c:pt>
                <c:pt idx="40">
                  <c:v>9867</c:v>
                </c:pt>
                <c:pt idx="41">
                  <c:v>16448.81</c:v>
                </c:pt>
                <c:pt idx="42">
                  <c:v>57262.28</c:v>
                </c:pt>
                <c:pt idx="43">
                  <c:v>73191</c:v>
                </c:pt>
                <c:pt idx="44">
                  <c:v>24329.61</c:v>
                </c:pt>
                <c:pt idx="45">
                  <c:v>21275.37</c:v>
                </c:pt>
                <c:pt idx="46">
                  <c:v>41331</c:v>
                </c:pt>
                <c:pt idx="47">
                  <c:v>30859</c:v>
                </c:pt>
                <c:pt idx="48">
                  <c:v>34959</c:v>
                </c:pt>
                <c:pt idx="49">
                  <c:v>20046.14</c:v>
                </c:pt>
                <c:pt idx="50">
                  <c:v>79438.99</c:v>
                </c:pt>
                <c:pt idx="51">
                  <c:v>155614.8</c:v>
                </c:pt>
              </c:numCache>
            </c:numRef>
          </c:val>
        </c:ser>
        <c:ser>
          <c:idx val="1"/>
          <c:order val="1"/>
          <c:tx>
            <c:strRef>
              <c:f>'2025'!$D$1</c:f>
              <c:strCache>
                <c:ptCount val="1"/>
                <c:pt idx="0">
                  <c:v>隔离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47"/>
                  <c:y val="-0.0645214446000234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E9713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'2025'!$D$2:$D$53</c:f>
              <c:numCache>
                <c:formatCode>#,##0_);[Red]\(#,##0\)</c:formatCode>
                <c:ptCount val="52"/>
                <c:pt idx="0">
                  <c:v>620</c:v>
                </c:pt>
                <c:pt idx="1">
                  <c:v>862</c:v>
                </c:pt>
                <c:pt idx="2">
                  <c:v>7822</c:v>
                </c:pt>
                <c:pt idx="3">
                  <c:v>3845</c:v>
                </c:pt>
                <c:pt idx="4">
                  <c:v>0</c:v>
                </c:pt>
                <c:pt idx="5">
                  <c:v>0</c:v>
                </c:pt>
                <c:pt idx="6">
                  <c:v>1190</c:v>
                </c:pt>
                <c:pt idx="7">
                  <c:v>1711</c:v>
                </c:pt>
                <c:pt idx="8">
                  <c:v>1308</c:v>
                </c:pt>
                <c:pt idx="9">
                  <c:v>433</c:v>
                </c:pt>
                <c:pt idx="10">
                  <c:v>200073</c:v>
                </c:pt>
                <c:pt idx="11">
                  <c:v>155255</c:v>
                </c:pt>
                <c:pt idx="12">
                  <c:v>7256</c:v>
                </c:pt>
                <c:pt idx="13">
                  <c:v>2091</c:v>
                </c:pt>
                <c:pt idx="14">
                  <c:v>23474</c:v>
                </c:pt>
                <c:pt idx="15">
                  <c:v>34379</c:v>
                </c:pt>
                <c:pt idx="16">
                  <c:v>26932</c:v>
                </c:pt>
                <c:pt idx="17">
                  <c:v>27954</c:v>
                </c:pt>
                <c:pt idx="18">
                  <c:v>23912</c:v>
                </c:pt>
                <c:pt idx="19">
                  <c:v>42</c:v>
                </c:pt>
                <c:pt idx="20">
                  <c:v>0</c:v>
                </c:pt>
                <c:pt idx="21">
                  <c:v>29865</c:v>
                </c:pt>
                <c:pt idx="22">
                  <c:v>10022</c:v>
                </c:pt>
                <c:pt idx="23">
                  <c:v>30041</c:v>
                </c:pt>
                <c:pt idx="24">
                  <c:v>7539</c:v>
                </c:pt>
                <c:pt idx="25">
                  <c:v>64693</c:v>
                </c:pt>
                <c:pt idx="26">
                  <c:v>16457</c:v>
                </c:pt>
                <c:pt idx="27">
                  <c:v>72277</c:v>
                </c:pt>
                <c:pt idx="28">
                  <c:v>13384</c:v>
                </c:pt>
                <c:pt idx="29">
                  <c:v>5054</c:v>
                </c:pt>
                <c:pt idx="30">
                  <c:v>4763</c:v>
                </c:pt>
                <c:pt idx="31">
                  <c:v>17997</c:v>
                </c:pt>
                <c:pt idx="32">
                  <c:v>1130</c:v>
                </c:pt>
                <c:pt idx="33">
                  <c:v>86729</c:v>
                </c:pt>
                <c:pt idx="34">
                  <c:v>15717</c:v>
                </c:pt>
                <c:pt idx="35">
                  <c:v>25844</c:v>
                </c:pt>
                <c:pt idx="36">
                  <c:v>192891</c:v>
                </c:pt>
                <c:pt idx="37">
                  <c:v>89565</c:v>
                </c:pt>
                <c:pt idx="38">
                  <c:v>150930</c:v>
                </c:pt>
                <c:pt idx="39">
                  <c:v>77341</c:v>
                </c:pt>
                <c:pt idx="40">
                  <c:v>10151</c:v>
                </c:pt>
                <c:pt idx="41">
                  <c:v>58346.62</c:v>
                </c:pt>
                <c:pt idx="42">
                  <c:v>52307.36</c:v>
                </c:pt>
                <c:pt idx="43">
                  <c:v>15691</c:v>
                </c:pt>
                <c:pt idx="44">
                  <c:v>32807.62</c:v>
                </c:pt>
                <c:pt idx="45">
                  <c:v>8163.6</c:v>
                </c:pt>
                <c:pt idx="46">
                  <c:v>30202</c:v>
                </c:pt>
                <c:pt idx="47">
                  <c:v>42010</c:v>
                </c:pt>
                <c:pt idx="48">
                  <c:v>98565</c:v>
                </c:pt>
                <c:pt idx="49">
                  <c:v>62570.16</c:v>
                </c:pt>
                <c:pt idx="50">
                  <c:v>119083.39</c:v>
                </c:pt>
                <c:pt idx="51">
                  <c:v>46313.71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41227712"/>
        <c:axId val="741224832"/>
      </c:barChart>
      <c:lineChart>
        <c:grouping val="standard"/>
        <c:varyColors val="0"/>
        <c:ser>
          <c:idx val="2"/>
          <c:order val="2"/>
          <c:tx>
            <c:strRef>
              <c:f>'2025'!$I$1</c:f>
              <c:strCache>
                <c:ptCount val="1"/>
                <c:pt idx="0">
                  <c:v>每周需复用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layout>
                <c:manualLayout>
                  <c:x val="-0.0357354703816307"/>
                  <c:y val="-0.10940592780004"/>
                </c:manualLayout>
              </c:layout>
              <c:tx>
                <c:rich>
                  <a:bodyPr rot="0" spcFirstLastPara="1" vertOverflow="clip" vert="horz" wrap="square" lIns="38100" tIns="19050" rIns="38100" bIns="19050" anchor="ctr" anchorCtr="1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NA Spareparts 500,000</a:t>
                    </a:r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403464988179701"/>
                  <c:y val="-0.0196369614000071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4EA72E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'2025'!$I$2:$I$53</c:f>
              <c:numCache>
                <c:formatCode>#,##0_);[Red]\(#,##0\)</c:formatCode>
                <c:ptCount val="52"/>
                <c:pt idx="0">
                  <c:v>189061.75</c:v>
                </c:pt>
                <c:pt idx="1">
                  <c:v>191201.274509804</c:v>
                </c:pt>
                <c:pt idx="2">
                  <c:v>191861.74</c:v>
                </c:pt>
                <c:pt idx="3">
                  <c:v>194928.93877551</c:v>
                </c:pt>
                <c:pt idx="4">
                  <c:v>197285.1875</c:v>
                </c:pt>
                <c:pt idx="5">
                  <c:v>201154.85106383</c:v>
                </c:pt>
                <c:pt idx="6">
                  <c:v>201447.52173913</c:v>
                </c:pt>
                <c:pt idx="7">
                  <c:v>204756.533333333</c:v>
                </c:pt>
                <c:pt idx="8">
                  <c:v>207991.681818182</c:v>
                </c:pt>
                <c:pt idx="9">
                  <c:v>202811.534883721</c:v>
                </c:pt>
                <c:pt idx="10">
                  <c:v>199346</c:v>
                </c:pt>
                <c:pt idx="11">
                  <c:v>195104</c:v>
                </c:pt>
                <c:pt idx="12">
                  <c:v>185993.975</c:v>
                </c:pt>
                <c:pt idx="13">
                  <c:v>183916.333333333</c:v>
                </c:pt>
                <c:pt idx="14">
                  <c:v>181293.315789474</c:v>
                </c:pt>
                <c:pt idx="15">
                  <c:v>178980.405405405</c:v>
                </c:pt>
                <c:pt idx="16">
                  <c:v>173304.583333333</c:v>
                </c:pt>
                <c:pt idx="17">
                  <c:v>174907.714285714</c:v>
                </c:pt>
                <c:pt idx="18">
                  <c:v>177812.558823529</c:v>
                </c:pt>
                <c:pt idx="19">
                  <c:v>180715.03030303</c:v>
                </c:pt>
                <c:pt idx="20">
                  <c:v>180839.59375</c:v>
                </c:pt>
                <c:pt idx="21">
                  <c:v>183055.903225806</c:v>
                </c:pt>
                <c:pt idx="22">
                  <c:v>185176.5</c:v>
                </c:pt>
                <c:pt idx="23">
                  <c:v>182779.206896552</c:v>
                </c:pt>
                <c:pt idx="24">
                  <c:v>181520.142857143</c:v>
                </c:pt>
                <c:pt idx="25">
                  <c:v>179028.740740741</c:v>
                </c:pt>
                <c:pt idx="26">
                  <c:v>173408.769230769</c:v>
                </c:pt>
                <c:pt idx="27">
                  <c:v>172514.36</c:v>
                </c:pt>
                <c:pt idx="28">
                  <c:v>176192.5</c:v>
                </c:pt>
                <c:pt idx="29">
                  <c:v>177064.782608696</c:v>
                </c:pt>
                <c:pt idx="30">
                  <c:v>177590.772727273</c:v>
                </c:pt>
                <c:pt idx="31">
                  <c:v>174063.761904762</c:v>
                </c:pt>
                <c:pt idx="32">
                  <c:v>179341.9</c:v>
                </c:pt>
                <c:pt idx="33">
                  <c:v>180646.578947368</c:v>
                </c:pt>
                <c:pt idx="34">
                  <c:v>180653.777777778</c:v>
                </c:pt>
                <c:pt idx="35">
                  <c:v>187301.352941176</c:v>
                </c:pt>
                <c:pt idx="36">
                  <c:v>180243.0625</c:v>
                </c:pt>
                <c:pt idx="37">
                  <c:v>175926.533333333</c:v>
                </c:pt>
                <c:pt idx="38">
                  <c:v>175789</c:v>
                </c:pt>
                <c:pt idx="39">
                  <c:v>182165.461538462</c:v>
                </c:pt>
                <c:pt idx="40">
                  <c:v>195677.75</c:v>
                </c:pt>
                <c:pt idx="41">
                  <c:v>161212.506363636</c:v>
                </c:pt>
                <c:pt idx="42">
                  <c:v>166376.793</c:v>
                </c:pt>
                <c:pt idx="43">
                  <c:v>174987.325555556</c:v>
                </c:pt>
                <c:pt idx="44">
                  <c:v>189718.5875</c:v>
                </c:pt>
                <c:pt idx="45">
                  <c:v>212615.675714286</c:v>
                </c:pt>
                <c:pt idx="46">
                  <c:v>236129.455</c:v>
                </c:pt>
                <c:pt idx="47">
                  <c:v>268781.546</c:v>
                </c:pt>
                <c:pt idx="48">
                  <c:v>302595.9325</c:v>
                </c:pt>
                <c:pt idx="49">
                  <c:v>375922.476666667</c:v>
                </c:pt>
                <c:pt idx="50">
                  <c:v>464622.525</c:v>
                </c:pt>
                <c:pt idx="51">
                  <c:v>727316.540000001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227712"/>
        <c:axId val="741224832"/>
      </c:lineChart>
      <c:catAx>
        <c:axId val="7412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4832"/>
        <c:crosses val="autoZero"/>
        <c:auto val="1"/>
        <c:lblAlgn val="ctr"/>
        <c:lblOffset val="100"/>
        <c:noMultiLvlLbl val="0"/>
      </c:catAx>
      <c:valAx>
        <c:axId val="7412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3d3457-f79a-4875-96ab-8c0a843134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</a:t>
            </a:r>
            <a:r>
              <a:rPr lang="zh-CN" sz="1000"/>
              <a:t>库存复用汇总</a:t>
            </a:r>
            <a:endParaRPr lang="zh-CN"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'2025'!$E$1</c:f>
              <c:strCache>
                <c:ptCount val="1"/>
                <c:pt idx="0">
                  <c:v>累计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'2025'!$E$2:$E$53</c:f>
              <c:numCache>
                <c:formatCode>#,##0_);[Red]\(#,##0\)</c:formatCode>
                <c:ptCount val="52"/>
                <c:pt idx="0">
                  <c:v>168789</c:v>
                </c:pt>
                <c:pt idx="1">
                  <c:v>248735</c:v>
                </c:pt>
                <c:pt idx="2">
                  <c:v>406913</c:v>
                </c:pt>
                <c:pt idx="3">
                  <c:v>448482</c:v>
                </c:pt>
                <c:pt idx="4">
                  <c:v>530311</c:v>
                </c:pt>
                <c:pt idx="5">
                  <c:v>545722</c:v>
                </c:pt>
                <c:pt idx="6">
                  <c:v>733414</c:v>
                </c:pt>
                <c:pt idx="7">
                  <c:v>785956</c:v>
                </c:pt>
                <c:pt idx="8">
                  <c:v>848366</c:v>
                </c:pt>
                <c:pt idx="9">
                  <c:v>1279104</c:v>
                </c:pt>
                <c:pt idx="10">
                  <c:v>1627468</c:v>
                </c:pt>
                <c:pt idx="11">
                  <c:v>2000736</c:v>
                </c:pt>
                <c:pt idx="12">
                  <c:v>2560241</c:v>
                </c:pt>
                <c:pt idx="13">
                  <c:v>2827263</c:v>
                </c:pt>
                <c:pt idx="14">
                  <c:v>3110854</c:v>
                </c:pt>
                <c:pt idx="15">
                  <c:v>3377725</c:v>
                </c:pt>
                <c:pt idx="16">
                  <c:v>3761035</c:v>
                </c:pt>
                <c:pt idx="17">
                  <c:v>3878230</c:v>
                </c:pt>
                <c:pt idx="18">
                  <c:v>3954373</c:v>
                </c:pt>
                <c:pt idx="19">
                  <c:v>4036404</c:v>
                </c:pt>
                <c:pt idx="20">
                  <c:v>4213133</c:v>
                </c:pt>
                <c:pt idx="21">
                  <c:v>4325267</c:v>
                </c:pt>
                <c:pt idx="22">
                  <c:v>4444705</c:v>
                </c:pt>
                <c:pt idx="23">
                  <c:v>4699403</c:v>
                </c:pt>
                <c:pt idx="24">
                  <c:v>4917436</c:v>
                </c:pt>
                <c:pt idx="25">
                  <c:v>5166224</c:v>
                </c:pt>
                <c:pt idx="26">
                  <c:v>5491372</c:v>
                </c:pt>
                <c:pt idx="27">
                  <c:v>5687141</c:v>
                </c:pt>
                <c:pt idx="28">
                  <c:v>5771380</c:v>
                </c:pt>
                <c:pt idx="29">
                  <c:v>5927510</c:v>
                </c:pt>
                <c:pt idx="30">
                  <c:v>6093003</c:v>
                </c:pt>
                <c:pt idx="31">
                  <c:v>6344661</c:v>
                </c:pt>
                <c:pt idx="32">
                  <c:v>6413162</c:v>
                </c:pt>
                <c:pt idx="33">
                  <c:v>6567715</c:v>
                </c:pt>
                <c:pt idx="34">
                  <c:v>6748232</c:v>
                </c:pt>
                <c:pt idx="35">
                  <c:v>6815877</c:v>
                </c:pt>
                <c:pt idx="36">
                  <c:v>7116111</c:v>
                </c:pt>
                <c:pt idx="37">
                  <c:v>7361102</c:v>
                </c:pt>
                <c:pt idx="38">
                  <c:v>7538954</c:v>
                </c:pt>
                <c:pt idx="39">
                  <c:v>7631849</c:v>
                </c:pt>
                <c:pt idx="40">
                  <c:v>7651867</c:v>
                </c:pt>
                <c:pt idx="41">
                  <c:v>7726662.43</c:v>
                </c:pt>
                <c:pt idx="42">
                  <c:v>7836232.07</c:v>
                </c:pt>
                <c:pt idx="43">
                  <c:v>7925114.07</c:v>
                </c:pt>
                <c:pt idx="44">
                  <c:v>7982251.3</c:v>
                </c:pt>
                <c:pt idx="45">
                  <c:v>8011690.27</c:v>
                </c:pt>
                <c:pt idx="46">
                  <c:v>8083223.27</c:v>
                </c:pt>
                <c:pt idx="47">
                  <c:v>8156092.27</c:v>
                </c:pt>
                <c:pt idx="48">
                  <c:v>8289616.27</c:v>
                </c:pt>
                <c:pt idx="49">
                  <c:v>8372232.57</c:v>
                </c:pt>
                <c:pt idx="50">
                  <c:v>8570754.95</c:v>
                </c:pt>
                <c:pt idx="51">
                  <c:v>8772683.46</c:v>
                </c:pt>
              </c:numCache>
            </c:numRef>
          </c:val>
        </c:ser>
        <c:ser>
          <c:idx val="3"/>
          <c:order val="3"/>
          <c:tx>
            <c:strRef>
              <c:f>'2025'!$F$1</c:f>
              <c:strCache>
                <c:ptCount val="1"/>
                <c:pt idx="0">
                  <c:v>EIC NA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'2025'!$F$2:$F$53</c:f>
              <c:numCache>
                <c:formatCode>#,##0_);[Red]\(#,##0\)</c:formatCode>
                <c:ptCount val="52"/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  <c:pt idx="44">
                  <c:v>500000</c:v>
                </c:pt>
                <c:pt idx="45">
                  <c:v>500000</c:v>
                </c:pt>
                <c:pt idx="46">
                  <c:v>500000</c:v>
                </c:pt>
                <c:pt idx="47">
                  <c:v>500000</c:v>
                </c:pt>
                <c:pt idx="48">
                  <c:v>500000</c:v>
                </c:pt>
                <c:pt idx="49">
                  <c:v>500000</c:v>
                </c:pt>
                <c:pt idx="50">
                  <c:v>500000</c:v>
                </c:pt>
                <c:pt idx="51">
                  <c:v>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99744"/>
        <c:axId val="172350166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'2025'!$C$1</c15:sqref>
                        </c15:formulaRef>
                      </c:ext>
                    </c:extLst>
                    <c:strCache>
                      <c:ptCount val="1"/>
                      <c:pt idx="0">
                        <c:v>领用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'2025'!$C$2:$C$53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168169</c:v>
                      </c:pt>
                      <c:pt idx="1">
                        <c:v>79084</c:v>
                      </c:pt>
                      <c:pt idx="2">
                        <c:v>150356</c:v>
                      </c:pt>
                      <c:pt idx="3">
                        <c:v>37724</c:v>
                      </c:pt>
                      <c:pt idx="4">
                        <c:v>81829</c:v>
                      </c:pt>
                      <c:pt idx="5">
                        <c:v>15411</c:v>
                      </c:pt>
                      <c:pt idx="6">
                        <c:v>186502</c:v>
                      </c:pt>
                      <c:pt idx="7">
                        <c:v>50831</c:v>
                      </c:pt>
                      <c:pt idx="8">
                        <c:v>61102</c:v>
                      </c:pt>
                      <c:pt idx="9">
                        <c:v>430305</c:v>
                      </c:pt>
                      <c:pt idx="10">
                        <c:v>148291</c:v>
                      </c:pt>
                      <c:pt idx="11">
                        <c:v>218013</c:v>
                      </c:pt>
                      <c:pt idx="12">
                        <c:v>552249</c:v>
                      </c:pt>
                      <c:pt idx="13">
                        <c:v>264931</c:v>
                      </c:pt>
                      <c:pt idx="14">
                        <c:v>260117</c:v>
                      </c:pt>
                      <c:pt idx="15">
                        <c:v>232492</c:v>
                      </c:pt>
                      <c:pt idx="16">
                        <c:v>356378</c:v>
                      </c:pt>
                      <c:pt idx="17">
                        <c:v>89241</c:v>
                      </c:pt>
                      <c:pt idx="18">
                        <c:v>52231</c:v>
                      </c:pt>
                      <c:pt idx="19">
                        <c:v>81989</c:v>
                      </c:pt>
                      <c:pt idx="20">
                        <c:v>176729</c:v>
                      </c:pt>
                      <c:pt idx="21">
                        <c:v>82269</c:v>
                      </c:pt>
                      <c:pt idx="22">
                        <c:v>109416</c:v>
                      </c:pt>
                      <c:pt idx="23">
                        <c:v>224657</c:v>
                      </c:pt>
                      <c:pt idx="24">
                        <c:v>210494</c:v>
                      </c:pt>
                      <c:pt idx="25">
                        <c:v>184095</c:v>
                      </c:pt>
                      <c:pt idx="26">
                        <c:v>308691</c:v>
                      </c:pt>
                      <c:pt idx="27">
                        <c:v>123492</c:v>
                      </c:pt>
                      <c:pt idx="28">
                        <c:v>70855</c:v>
                      </c:pt>
                      <c:pt idx="29">
                        <c:v>151076</c:v>
                      </c:pt>
                      <c:pt idx="30">
                        <c:v>160730</c:v>
                      </c:pt>
                      <c:pt idx="31">
                        <c:v>233661</c:v>
                      </c:pt>
                      <c:pt idx="32">
                        <c:v>67371</c:v>
                      </c:pt>
                      <c:pt idx="33">
                        <c:v>67824</c:v>
                      </c:pt>
                      <c:pt idx="34">
                        <c:v>164800</c:v>
                      </c:pt>
                      <c:pt idx="35">
                        <c:v>41801</c:v>
                      </c:pt>
                      <c:pt idx="36">
                        <c:v>107343</c:v>
                      </c:pt>
                      <c:pt idx="37">
                        <c:v>155426</c:v>
                      </c:pt>
                      <c:pt idx="38">
                        <c:v>26922</c:v>
                      </c:pt>
                      <c:pt idx="39">
                        <c:v>15554</c:v>
                      </c:pt>
                      <c:pt idx="40">
                        <c:v>9867</c:v>
                      </c:pt>
                      <c:pt idx="41">
                        <c:v>16448.81</c:v>
                      </c:pt>
                      <c:pt idx="42">
                        <c:v>57262.28</c:v>
                      </c:pt>
                      <c:pt idx="43">
                        <c:v>73191</c:v>
                      </c:pt>
                      <c:pt idx="44">
                        <c:v>24329.61</c:v>
                      </c:pt>
                      <c:pt idx="45">
                        <c:v>21275.37</c:v>
                      </c:pt>
                      <c:pt idx="46">
                        <c:v>41331</c:v>
                      </c:pt>
                      <c:pt idx="47">
                        <c:v>30859</c:v>
                      </c:pt>
                      <c:pt idx="48">
                        <c:v>34959</c:v>
                      </c:pt>
                      <c:pt idx="49">
                        <c:v>20046.14</c:v>
                      </c:pt>
                      <c:pt idx="50">
                        <c:v>79438.99</c:v>
                      </c:pt>
                      <c:pt idx="51">
                        <c:v>155614.8</c:v>
                      </c:pt>
                    </c:numCache>
                  </c:numRef>
                </c:val>
              </c15:ser>
            </c15:filteredAreaSeries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'2025'!$D$1</c15:sqref>
                        </c15:formulaRef>
                      </c:ext>
                    </c:extLst>
                    <c:strCache>
                      <c:ptCount val="1"/>
                      <c:pt idx="0">
                        <c:v>隔离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'2025'!$D$2:$D$53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620</c:v>
                      </c:pt>
                      <c:pt idx="1">
                        <c:v>862</c:v>
                      </c:pt>
                      <c:pt idx="2">
                        <c:v>7822</c:v>
                      </c:pt>
                      <c:pt idx="3">
                        <c:v>3845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1190</c:v>
                      </c:pt>
                      <c:pt idx="7">
                        <c:v>1711</c:v>
                      </c:pt>
                      <c:pt idx="8">
                        <c:v>1308</c:v>
                      </c:pt>
                      <c:pt idx="9">
                        <c:v>433</c:v>
                      </c:pt>
                      <c:pt idx="10">
                        <c:v>200073</c:v>
                      </c:pt>
                      <c:pt idx="11">
                        <c:v>155255</c:v>
                      </c:pt>
                      <c:pt idx="12">
                        <c:v>7256</c:v>
                      </c:pt>
                      <c:pt idx="13">
                        <c:v>2091</c:v>
                      </c:pt>
                      <c:pt idx="14">
                        <c:v>23474</c:v>
                      </c:pt>
                      <c:pt idx="15">
                        <c:v>34379</c:v>
                      </c:pt>
                      <c:pt idx="16">
                        <c:v>26932</c:v>
                      </c:pt>
                      <c:pt idx="17">
                        <c:v>27954</c:v>
                      </c:pt>
                      <c:pt idx="18">
                        <c:v>23912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29865</c:v>
                      </c:pt>
                      <c:pt idx="22">
                        <c:v>10022</c:v>
                      </c:pt>
                      <c:pt idx="23">
                        <c:v>30041</c:v>
                      </c:pt>
                      <c:pt idx="24">
                        <c:v>7539</c:v>
                      </c:pt>
                      <c:pt idx="25">
                        <c:v>64693</c:v>
                      </c:pt>
                      <c:pt idx="26">
                        <c:v>16457</c:v>
                      </c:pt>
                      <c:pt idx="27">
                        <c:v>72277</c:v>
                      </c:pt>
                      <c:pt idx="28">
                        <c:v>13384</c:v>
                      </c:pt>
                      <c:pt idx="29">
                        <c:v>5054</c:v>
                      </c:pt>
                      <c:pt idx="30">
                        <c:v>4763</c:v>
                      </c:pt>
                      <c:pt idx="31">
                        <c:v>17997</c:v>
                      </c:pt>
                      <c:pt idx="32">
                        <c:v>1130</c:v>
                      </c:pt>
                      <c:pt idx="33">
                        <c:v>86729</c:v>
                      </c:pt>
                      <c:pt idx="34">
                        <c:v>15717</c:v>
                      </c:pt>
                      <c:pt idx="35">
                        <c:v>25844</c:v>
                      </c:pt>
                      <c:pt idx="36">
                        <c:v>192891</c:v>
                      </c:pt>
                      <c:pt idx="37">
                        <c:v>89565</c:v>
                      </c:pt>
                      <c:pt idx="38">
                        <c:v>150930</c:v>
                      </c:pt>
                      <c:pt idx="39">
                        <c:v>77341</c:v>
                      </c:pt>
                      <c:pt idx="40">
                        <c:v>10151</c:v>
                      </c:pt>
                      <c:pt idx="41">
                        <c:v>58346.62</c:v>
                      </c:pt>
                      <c:pt idx="42">
                        <c:v>52307.36</c:v>
                      </c:pt>
                      <c:pt idx="43">
                        <c:v>15691</c:v>
                      </c:pt>
                      <c:pt idx="44">
                        <c:v>32807.62</c:v>
                      </c:pt>
                      <c:pt idx="45">
                        <c:v>8163.6</c:v>
                      </c:pt>
                      <c:pt idx="46">
                        <c:v>30202</c:v>
                      </c:pt>
                      <c:pt idx="47">
                        <c:v>42010</c:v>
                      </c:pt>
                      <c:pt idx="48">
                        <c:v>98565</c:v>
                      </c:pt>
                      <c:pt idx="49">
                        <c:v>62570.16</c:v>
                      </c:pt>
                      <c:pt idx="50">
                        <c:v>119083.39</c:v>
                      </c:pt>
                      <c:pt idx="51">
                        <c:v>46313.71</c:v>
                      </c:pt>
                    </c:numCache>
                  </c:numRef>
                </c:val>
              </c15:ser>
            </c15:filteredAreaSeries>
          </c:ext>
        </c:extLst>
      </c:areaChart>
      <c:catAx>
        <c:axId val="17234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501664"/>
        <c:crosses val="autoZero"/>
        <c:auto val="1"/>
        <c:lblAlgn val="ctr"/>
        <c:lblOffset val="100"/>
        <c:noMultiLvlLbl val="0"/>
      </c:catAx>
      <c:valAx>
        <c:axId val="1723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c8e9066-c51d-4190-ace4-869eb8d514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'2026'!$F$1</c:f>
              <c:strCache>
                <c:ptCount val="1"/>
                <c:pt idx="0">
                  <c:v>2025参考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'2026'!$F$2:$F$53</c:f>
              <c:numCache>
                <c:formatCode>#,##0_);[Red]\(#,##0\)</c:formatCode>
                <c:ptCount val="52"/>
                <c:pt idx="0">
                  <c:v>168789</c:v>
                </c:pt>
                <c:pt idx="1">
                  <c:v>79946</c:v>
                </c:pt>
                <c:pt idx="2">
                  <c:v>158178</c:v>
                </c:pt>
                <c:pt idx="3">
                  <c:v>41569</c:v>
                </c:pt>
                <c:pt idx="4">
                  <c:v>81829</c:v>
                </c:pt>
                <c:pt idx="5">
                  <c:v>15411</c:v>
                </c:pt>
                <c:pt idx="6">
                  <c:v>187692</c:v>
                </c:pt>
                <c:pt idx="7">
                  <c:v>52542</c:v>
                </c:pt>
                <c:pt idx="8">
                  <c:v>62410</c:v>
                </c:pt>
                <c:pt idx="9">
                  <c:v>430738</c:v>
                </c:pt>
                <c:pt idx="10">
                  <c:v>348364</c:v>
                </c:pt>
                <c:pt idx="11">
                  <c:v>373268</c:v>
                </c:pt>
                <c:pt idx="12">
                  <c:v>559505</c:v>
                </c:pt>
                <c:pt idx="13">
                  <c:v>267022</c:v>
                </c:pt>
                <c:pt idx="14">
                  <c:v>283591</c:v>
                </c:pt>
                <c:pt idx="15">
                  <c:v>266871</c:v>
                </c:pt>
                <c:pt idx="16">
                  <c:v>383310</c:v>
                </c:pt>
                <c:pt idx="17">
                  <c:v>117195</c:v>
                </c:pt>
                <c:pt idx="18">
                  <c:v>76143</c:v>
                </c:pt>
                <c:pt idx="19">
                  <c:v>82031</c:v>
                </c:pt>
                <c:pt idx="20">
                  <c:v>176729</c:v>
                </c:pt>
                <c:pt idx="21">
                  <c:v>112134</c:v>
                </c:pt>
                <c:pt idx="22">
                  <c:v>119438</c:v>
                </c:pt>
                <c:pt idx="23">
                  <c:v>254698</c:v>
                </c:pt>
                <c:pt idx="24">
                  <c:v>218033</c:v>
                </c:pt>
                <c:pt idx="25">
                  <c:v>248788</c:v>
                </c:pt>
                <c:pt idx="26">
                  <c:v>325148</c:v>
                </c:pt>
                <c:pt idx="27">
                  <c:v>195769</c:v>
                </c:pt>
                <c:pt idx="28">
                  <c:v>84239</c:v>
                </c:pt>
                <c:pt idx="29">
                  <c:v>156130</c:v>
                </c:pt>
                <c:pt idx="30">
                  <c:v>165493</c:v>
                </c:pt>
                <c:pt idx="31">
                  <c:v>251658</c:v>
                </c:pt>
                <c:pt idx="32">
                  <c:v>68501</c:v>
                </c:pt>
                <c:pt idx="33">
                  <c:v>154553</c:v>
                </c:pt>
                <c:pt idx="34">
                  <c:v>180517</c:v>
                </c:pt>
                <c:pt idx="35">
                  <c:v>67645</c:v>
                </c:pt>
                <c:pt idx="36">
                  <c:v>300234</c:v>
                </c:pt>
                <c:pt idx="37">
                  <c:v>244991</c:v>
                </c:pt>
                <c:pt idx="38">
                  <c:v>177852</c:v>
                </c:pt>
                <c:pt idx="39">
                  <c:v>92895</c:v>
                </c:pt>
                <c:pt idx="40">
                  <c:v>20018</c:v>
                </c:pt>
                <c:pt idx="41">
                  <c:v>74795.43</c:v>
                </c:pt>
                <c:pt idx="42">
                  <c:v>109569.64</c:v>
                </c:pt>
                <c:pt idx="43">
                  <c:v>88882</c:v>
                </c:pt>
                <c:pt idx="44">
                  <c:v>57137.23</c:v>
                </c:pt>
                <c:pt idx="45">
                  <c:v>29438.97</c:v>
                </c:pt>
                <c:pt idx="46">
                  <c:v>71533</c:v>
                </c:pt>
                <c:pt idx="47">
                  <c:v>72869</c:v>
                </c:pt>
                <c:pt idx="48">
                  <c:v>133524</c:v>
                </c:pt>
                <c:pt idx="49">
                  <c:v>82616.3</c:v>
                </c:pt>
                <c:pt idx="50">
                  <c:v>198522.38</c:v>
                </c:pt>
                <c:pt idx="51">
                  <c:v>201928.51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27712"/>
        <c:axId val="741224832"/>
      </c:areaChart>
      <c:barChart>
        <c:barDir val="col"/>
        <c:grouping val="stacked"/>
        <c:varyColors val="0"/>
        <c:ser>
          <c:idx val="0"/>
          <c:order val="0"/>
          <c:tx>
            <c:strRef>
              <c:f>'2026'!$C$1</c:f>
              <c:strCache>
                <c:ptCount val="1"/>
                <c:pt idx="0">
                  <c:v>领用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3"/>
                  <c:y val="0.19356433380007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'2026'!$C$2:$C$53</c:f>
              <c:numCache>
                <c:formatCode>#,##0_);[Red]\(#,##0\)</c:formatCode>
                <c:ptCount val="52"/>
                <c:pt idx="0">
                  <c:v>39212.67302</c:v>
                </c:pt>
                <c:pt idx="1">
                  <c:v>18011.94</c:v>
                </c:pt>
                <c:pt idx="2">
                  <c:v>7069</c:v>
                </c:pt>
                <c:pt idx="3">
                  <c:v>16370.62</c:v>
                </c:pt>
                <c:pt idx="4">
                  <c:v>32164.85</c:v>
                </c:pt>
                <c:pt idx="5">
                  <c:v>22067.6</c:v>
                </c:pt>
                <c:pt idx="6">
                  <c:v>5174.75</c:v>
                </c:pt>
                <c:pt idx="7">
                  <c:v>0</c:v>
                </c:pt>
                <c:pt idx="8">
                  <c:v>6189</c:v>
                </c:pt>
                <c:pt idx="9">
                  <c:v>5559</c:v>
                </c:pt>
                <c:pt idx="10">
                  <c:v>12715</c:v>
                </c:pt>
                <c:pt idx="11">
                  <c:v>23974</c:v>
                </c:pt>
                <c:pt idx="12">
                  <c:v>4690</c:v>
                </c:pt>
                <c:pt idx="13">
                  <c:v>12642</c:v>
                </c:pt>
                <c:pt idx="14">
                  <c:v>49831.52</c:v>
                </c:pt>
              </c:numCache>
            </c:numRef>
          </c:val>
        </c:ser>
        <c:ser>
          <c:idx val="1"/>
          <c:order val="1"/>
          <c:tx>
            <c:strRef>
              <c:f>'2026'!$D$1</c:f>
              <c:strCache>
                <c:ptCount val="1"/>
                <c:pt idx="0">
                  <c:v>隔离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47"/>
                  <c:y val="-0.0645214446000234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'2026'!$D$2:$D$53</c:f>
              <c:numCache>
                <c:formatCode>#,##0_);[Red]\(#,##0\)</c:formatCode>
                <c:ptCount val="52"/>
                <c:pt idx="0">
                  <c:v>1965.93</c:v>
                </c:pt>
                <c:pt idx="1">
                  <c:v>7639.05</c:v>
                </c:pt>
                <c:pt idx="2">
                  <c:v>16551</c:v>
                </c:pt>
                <c:pt idx="3">
                  <c:v>18694.04</c:v>
                </c:pt>
                <c:pt idx="4">
                  <c:v>16873.42</c:v>
                </c:pt>
                <c:pt idx="5">
                  <c:v>10337.01</c:v>
                </c:pt>
                <c:pt idx="6">
                  <c:v>48919</c:v>
                </c:pt>
                <c:pt idx="7">
                  <c:v>0</c:v>
                </c:pt>
                <c:pt idx="8">
                  <c:v>37528</c:v>
                </c:pt>
                <c:pt idx="9">
                  <c:v>74532</c:v>
                </c:pt>
                <c:pt idx="10">
                  <c:v>3435</c:v>
                </c:pt>
                <c:pt idx="11">
                  <c:v>29564</c:v>
                </c:pt>
                <c:pt idx="12">
                  <c:v>45742</c:v>
                </c:pt>
                <c:pt idx="13">
                  <c:v>275190</c:v>
                </c:pt>
                <c:pt idx="14">
                  <c:v>80938.47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41227712"/>
        <c:axId val="741224832"/>
      </c:barChart>
      <c:lineChart>
        <c:grouping val="standard"/>
        <c:varyColors val="0"/>
        <c:ser>
          <c:idx val="3"/>
          <c:order val="3"/>
          <c:tx>
            <c:strRef>
              <c:f>'2026'!$K$1</c:f>
              <c:strCache>
                <c:ptCount val="1"/>
                <c:pt idx="0">
                  <c:v>每周需复用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'2026'!$K$2:$K$53</c:f>
              <c:numCache>
                <c:formatCode>#,##0_);[Red]\(#,##0\)</c:formatCode>
                <c:ptCount val="52"/>
                <c:pt idx="0">
                  <c:v>191515.796095769</c:v>
                </c:pt>
                <c:pt idx="1">
                  <c:v>194768.047195686</c:v>
                </c:pt>
                <c:pt idx="2">
                  <c:v>198191.0081396</c:v>
                </c:pt>
                <c:pt idx="3">
                  <c:v>201520.117285306</c:v>
                </c:pt>
                <c:pt idx="4">
                  <c:v>204696.822437083</c:v>
                </c:pt>
                <c:pt idx="5">
                  <c:v>208362.614191064</c:v>
                </c:pt>
                <c:pt idx="6">
                  <c:v>211716.285151739</c:v>
                </c:pt>
                <c:pt idx="7">
                  <c:v>216421.091488444</c:v>
                </c:pt>
                <c:pt idx="8">
                  <c:v>220346.184476818</c:v>
                </c:pt>
                <c:pt idx="9">
                  <c:v>223607.932953023</c:v>
                </c:pt>
                <c:pt idx="10">
                  <c:v>228547.407547143</c:v>
                </c:pt>
                <c:pt idx="11">
                  <c:v>232815.929682439</c:v>
                </c:pt>
                <c:pt idx="12">
                  <c:v>237375.5279245</c:v>
                </c:pt>
                <c:pt idx="13">
                  <c:v>236081.772230256</c:v>
                </c:pt>
                <c:pt idx="14">
                  <c:v>238853.134920526</c:v>
                </c:pt>
                <c:pt idx="15">
                  <c:v>245308.625053514</c:v>
                </c:pt>
                <c:pt idx="16">
                  <c:v>252122.753527222</c:v>
                </c:pt>
                <c:pt idx="17">
                  <c:v>259326.260770857</c:v>
                </c:pt>
                <c:pt idx="18">
                  <c:v>266953.503734706</c:v>
                </c:pt>
                <c:pt idx="19">
                  <c:v>275043.003847879</c:v>
                </c:pt>
                <c:pt idx="20">
                  <c:v>283638.097718125</c:v>
                </c:pt>
                <c:pt idx="21">
                  <c:v>292787.713773548</c:v>
                </c:pt>
                <c:pt idx="22">
                  <c:v>302547.304232667</c:v>
                </c:pt>
                <c:pt idx="23">
                  <c:v>312979.969895862</c:v>
                </c:pt>
                <c:pt idx="24">
                  <c:v>324157.825963571</c:v>
                </c:pt>
                <c:pt idx="25">
                  <c:v>336163.67136963</c:v>
                </c:pt>
                <c:pt idx="26">
                  <c:v>349093.043345385</c:v>
                </c:pt>
                <c:pt idx="27">
                  <c:v>363056.7650792</c:v>
                </c:pt>
                <c:pt idx="28">
                  <c:v>378184.130290833</c:v>
                </c:pt>
                <c:pt idx="29">
                  <c:v>394626.918564348</c:v>
                </c:pt>
                <c:pt idx="30">
                  <c:v>412564.505771818</c:v>
                </c:pt>
                <c:pt idx="31">
                  <c:v>432210.434618095</c:v>
                </c:pt>
                <c:pt idx="32">
                  <c:v>453820.956349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227712"/>
        <c:axId val="741224832"/>
      </c:lineChart>
      <c:catAx>
        <c:axId val="7412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4832"/>
        <c:crosses val="autoZero"/>
        <c:auto val="1"/>
        <c:lblAlgn val="ctr"/>
        <c:lblOffset val="100"/>
        <c:noMultiLvlLbl val="0"/>
      </c:catAx>
      <c:valAx>
        <c:axId val="7412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6fd735-7d20-4510-a84a-86f371b0b7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</a:t>
            </a:r>
            <a:r>
              <a:rPr lang="zh-CN" sz="1000"/>
              <a:t>库存复用汇总</a:t>
            </a:r>
            <a:endParaRPr lang="zh-CN"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'2026'!$E$1</c:f>
              <c:strCache>
                <c:ptCount val="1"/>
                <c:pt idx="0">
                  <c:v>2026累计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'2026'!$E$2:$E$53</c:f>
              <c:numCache>
                <c:formatCode>#,##0_);[Red]\(#,##0\)</c:formatCode>
                <c:ptCount val="52"/>
                <c:pt idx="0">
                  <c:v>41178.60302</c:v>
                </c:pt>
                <c:pt idx="1">
                  <c:v>66829.59302</c:v>
                </c:pt>
                <c:pt idx="2">
                  <c:v>90449.59302</c:v>
                </c:pt>
                <c:pt idx="3">
                  <c:v>125514.25302</c:v>
                </c:pt>
                <c:pt idx="4">
                  <c:v>174552.52302</c:v>
                </c:pt>
                <c:pt idx="5">
                  <c:v>206957.13302</c:v>
                </c:pt>
                <c:pt idx="6">
                  <c:v>261050.88302</c:v>
                </c:pt>
                <c:pt idx="7">
                  <c:v>261050.88302</c:v>
                </c:pt>
                <c:pt idx="8">
                  <c:v>304767.88302</c:v>
                </c:pt>
                <c:pt idx="9">
                  <c:v>384858.88302</c:v>
                </c:pt>
                <c:pt idx="10">
                  <c:v>401008.88302</c:v>
                </c:pt>
                <c:pt idx="11">
                  <c:v>454546.88302</c:v>
                </c:pt>
                <c:pt idx="12">
                  <c:v>504978.88302</c:v>
                </c:pt>
                <c:pt idx="13">
                  <c:v>792810.88302</c:v>
                </c:pt>
                <c:pt idx="14">
                  <c:v>923580.87302</c:v>
                </c:pt>
                <c:pt idx="15">
                  <c:v>923580.87302</c:v>
                </c:pt>
                <c:pt idx="16">
                  <c:v>923580.87302</c:v>
                </c:pt>
                <c:pt idx="17">
                  <c:v>923580.87302</c:v>
                </c:pt>
                <c:pt idx="18">
                  <c:v>923580.87302</c:v>
                </c:pt>
                <c:pt idx="19">
                  <c:v>923580.87302</c:v>
                </c:pt>
                <c:pt idx="20">
                  <c:v>923580.87302</c:v>
                </c:pt>
                <c:pt idx="21">
                  <c:v>923580.87302</c:v>
                </c:pt>
                <c:pt idx="22">
                  <c:v>923580.87302</c:v>
                </c:pt>
                <c:pt idx="23">
                  <c:v>923580.87302</c:v>
                </c:pt>
                <c:pt idx="24">
                  <c:v>923580.87302</c:v>
                </c:pt>
                <c:pt idx="25">
                  <c:v>923580.87302</c:v>
                </c:pt>
                <c:pt idx="26">
                  <c:v>923580.87302</c:v>
                </c:pt>
                <c:pt idx="27">
                  <c:v>923580.87302</c:v>
                </c:pt>
                <c:pt idx="28">
                  <c:v>923580.87302</c:v>
                </c:pt>
                <c:pt idx="29">
                  <c:v>923580.87302</c:v>
                </c:pt>
                <c:pt idx="30">
                  <c:v>923580.87302</c:v>
                </c:pt>
                <c:pt idx="31">
                  <c:v>923580.87302</c:v>
                </c:pt>
                <c:pt idx="32">
                  <c:v>923580.87302</c:v>
                </c:pt>
                <c:pt idx="33">
                  <c:v>923580.87302</c:v>
                </c:pt>
                <c:pt idx="34">
                  <c:v>923580.87302</c:v>
                </c:pt>
                <c:pt idx="35">
                  <c:v>923580.87302</c:v>
                </c:pt>
                <c:pt idx="36">
                  <c:v>923580.87302</c:v>
                </c:pt>
                <c:pt idx="37">
                  <c:v>923580.87302</c:v>
                </c:pt>
                <c:pt idx="38">
                  <c:v>923580.87302</c:v>
                </c:pt>
                <c:pt idx="39">
                  <c:v>923580.87302</c:v>
                </c:pt>
                <c:pt idx="40">
                  <c:v>923580.87302</c:v>
                </c:pt>
                <c:pt idx="41">
                  <c:v>923580.87302</c:v>
                </c:pt>
                <c:pt idx="42">
                  <c:v>923580.87302</c:v>
                </c:pt>
                <c:pt idx="43">
                  <c:v>923580.87302</c:v>
                </c:pt>
                <c:pt idx="44">
                  <c:v>923580.87302</c:v>
                </c:pt>
                <c:pt idx="45">
                  <c:v>923580.87302</c:v>
                </c:pt>
                <c:pt idx="46">
                  <c:v>923580.87302</c:v>
                </c:pt>
                <c:pt idx="47">
                  <c:v>923580.87302</c:v>
                </c:pt>
                <c:pt idx="48">
                  <c:v>923580.87302</c:v>
                </c:pt>
                <c:pt idx="49">
                  <c:v>923580.87302</c:v>
                </c:pt>
                <c:pt idx="50">
                  <c:v>923580.87302</c:v>
                </c:pt>
                <c:pt idx="51">
                  <c:v>923580.87302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99744"/>
        <c:axId val="172350166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'2026'!$C$1</c15:sqref>
                        </c15:formulaRef>
                      </c:ext>
                    </c:extLst>
                    <c:strCache>
                      <c:ptCount val="1"/>
                      <c:pt idx="0">
                        <c:v>领用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'2026'!$C$2:$C$53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39212.67302</c:v>
                      </c:pt>
                      <c:pt idx="1">
                        <c:v>18011.94</c:v>
                      </c:pt>
                      <c:pt idx="2">
                        <c:v>7069</c:v>
                      </c:pt>
                      <c:pt idx="3">
                        <c:v>16370.62</c:v>
                      </c:pt>
                      <c:pt idx="4">
                        <c:v>32164.85</c:v>
                      </c:pt>
                      <c:pt idx="5">
                        <c:v>22067.6</c:v>
                      </c:pt>
                      <c:pt idx="6">
                        <c:v>5174.75</c:v>
                      </c:pt>
                      <c:pt idx="7">
                        <c:v>0</c:v>
                      </c:pt>
                      <c:pt idx="8">
                        <c:v>6189</c:v>
                      </c:pt>
                      <c:pt idx="9">
                        <c:v>5559</c:v>
                      </c:pt>
                      <c:pt idx="10">
                        <c:v>12715</c:v>
                      </c:pt>
                      <c:pt idx="11">
                        <c:v>23974</c:v>
                      </c:pt>
                      <c:pt idx="12">
                        <c:v>4690</c:v>
                      </c:pt>
                      <c:pt idx="13">
                        <c:v>12642</c:v>
                      </c:pt>
                      <c:pt idx="14">
                        <c:v>49831.52</c:v>
                      </c:pt>
                    </c:numCache>
                  </c:numRef>
                </c:val>
              </c15:ser>
            </c15:filteredAreaSeries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'2026'!$D$1</c15:sqref>
                        </c15:formulaRef>
                      </c:ext>
                    </c:extLst>
                    <c:strCache>
                      <c:ptCount val="1"/>
                      <c:pt idx="0">
                        <c:v>隔离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'2026'!$D$2:$D$53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1965.93</c:v>
                      </c:pt>
                      <c:pt idx="1">
                        <c:v>7639.05</c:v>
                      </c:pt>
                      <c:pt idx="2">
                        <c:v>16551</c:v>
                      </c:pt>
                      <c:pt idx="3">
                        <c:v>18694.04</c:v>
                      </c:pt>
                      <c:pt idx="4">
                        <c:v>16873.42</c:v>
                      </c:pt>
                      <c:pt idx="5">
                        <c:v>10337.01</c:v>
                      </c:pt>
                      <c:pt idx="6">
                        <c:v>48919</c:v>
                      </c:pt>
                      <c:pt idx="7">
                        <c:v>0</c:v>
                      </c:pt>
                      <c:pt idx="8">
                        <c:v>37528</c:v>
                      </c:pt>
                      <c:pt idx="9">
                        <c:v>74532</c:v>
                      </c:pt>
                      <c:pt idx="10">
                        <c:v>3435</c:v>
                      </c:pt>
                      <c:pt idx="11">
                        <c:v>29564</c:v>
                      </c:pt>
                      <c:pt idx="12">
                        <c:v>45742</c:v>
                      </c:pt>
                      <c:pt idx="13">
                        <c:v>275190</c:v>
                      </c:pt>
                      <c:pt idx="14">
                        <c:v>80938.47</c:v>
                      </c:pt>
                    </c:numCache>
                  </c:numRef>
                </c:val>
              </c15:ser>
            </c15:filteredAreaSeries>
            <c15:filteredArea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'2026'!$H$1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'2026'!$H$2:$H$53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</c:numCache>
                  </c:numRef>
                </c:val>
              </c15:ser>
            </c15:filteredAreaSeries>
          </c:ext>
        </c:extLst>
      </c:areaChart>
      <c:catAx>
        <c:axId val="17234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501664"/>
        <c:crosses val="autoZero"/>
        <c:auto val="1"/>
        <c:lblAlgn val="ctr"/>
        <c:lblOffset val="100"/>
        <c:noMultiLvlLbl val="0"/>
      </c:catAx>
      <c:valAx>
        <c:axId val="1723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086601b-20a3-4e77-870c-08ad696e00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200023</xdr:colOff>
      <xdr:row>2</xdr:row>
      <xdr:rowOff>78440</xdr:rowOff>
    </xdr:from>
    <xdr:to>
      <xdr:col>28</xdr:col>
      <xdr:colOff>280147</xdr:colOff>
      <xdr:row>27</xdr:row>
      <xdr:rowOff>123264</xdr:rowOff>
    </xdr:to>
    <xdr:graphicFrame>
      <xdr:nvGraphicFramePr>
        <xdr:cNvPr id="4" name="图表 3"/>
        <xdr:cNvGraphicFramePr/>
      </xdr:nvGraphicFramePr>
      <xdr:xfrm>
        <a:off x="9257665" y="421005"/>
        <a:ext cx="11053445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207229</xdr:colOff>
      <xdr:row>28</xdr:row>
      <xdr:rowOff>22412</xdr:rowOff>
    </xdr:from>
    <xdr:to>
      <xdr:col>28</xdr:col>
      <xdr:colOff>280147</xdr:colOff>
      <xdr:row>54</xdr:row>
      <xdr:rowOff>11206</xdr:rowOff>
    </xdr:to>
    <xdr:graphicFrame>
      <xdr:nvGraphicFramePr>
        <xdr:cNvPr id="7" name="图表 6"/>
        <xdr:cNvGraphicFramePr/>
      </xdr:nvGraphicFramePr>
      <xdr:xfrm>
        <a:off x="9265285" y="4822825"/>
        <a:ext cx="11045825" cy="444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200023</xdr:colOff>
      <xdr:row>2</xdr:row>
      <xdr:rowOff>78440</xdr:rowOff>
    </xdr:from>
    <xdr:to>
      <xdr:col>30</xdr:col>
      <xdr:colOff>280147</xdr:colOff>
      <xdr:row>27</xdr:row>
      <xdr:rowOff>123264</xdr:rowOff>
    </xdr:to>
    <xdr:graphicFrame>
      <xdr:nvGraphicFramePr>
        <xdr:cNvPr id="2" name="图表 1"/>
        <xdr:cNvGraphicFramePr/>
      </xdr:nvGraphicFramePr>
      <xdr:xfrm>
        <a:off x="10867390" y="421005"/>
        <a:ext cx="11053445" cy="433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207229</xdr:colOff>
      <xdr:row>28</xdr:row>
      <xdr:rowOff>22412</xdr:rowOff>
    </xdr:from>
    <xdr:to>
      <xdr:col>30</xdr:col>
      <xdr:colOff>280147</xdr:colOff>
      <xdr:row>54</xdr:row>
      <xdr:rowOff>11206</xdr:rowOff>
    </xdr:to>
    <xdr:graphicFrame>
      <xdr:nvGraphicFramePr>
        <xdr:cNvPr id="3" name="图表 2"/>
        <xdr:cNvGraphicFramePr/>
      </xdr:nvGraphicFramePr>
      <xdr:xfrm>
        <a:off x="10875010" y="4822825"/>
        <a:ext cx="11045825" cy="444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"/>
  <sheetViews>
    <sheetView zoomScale="85" zoomScaleNormal="85" workbookViewId="0">
      <pane ySplit="1" topLeftCell="A2" activePane="bottomLeft" state="frozen"/>
      <selection/>
      <selection pane="bottomLeft" activeCell="F57" sqref="F57"/>
    </sheetView>
  </sheetViews>
  <sheetFormatPr defaultColWidth="9" defaultRowHeight="13.5"/>
  <cols>
    <col min="3" max="4" width="10.25" style="1" customWidth="1"/>
    <col min="5" max="8" width="10.25" style="2" customWidth="1"/>
    <col min="9" max="9" width="12.375" style="2" customWidth="1"/>
  </cols>
  <sheetData>
    <row r="1" spans="2:9">
      <c r="B1" s="3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/>
      <c r="I1" s="5" t="s">
        <v>6</v>
      </c>
    </row>
    <row r="2" spans="2:9">
      <c r="B2" s="6" t="s">
        <v>7</v>
      </c>
      <c r="C2" s="7">
        <v>168169</v>
      </c>
      <c r="D2" s="7">
        <v>620</v>
      </c>
      <c r="E2" s="8">
        <f>C2+D2</f>
        <v>168789</v>
      </c>
      <c r="F2" s="8"/>
      <c r="G2" s="9">
        <v>127094.72</v>
      </c>
      <c r="H2" s="8">
        <v>52</v>
      </c>
      <c r="I2" s="8">
        <f t="shared" ref="I2:I42" si="0">(10000000-E2)/H2</f>
        <v>189061.75</v>
      </c>
    </row>
    <row r="3" spans="2:9">
      <c r="B3" s="6" t="s">
        <v>8</v>
      </c>
      <c r="C3" s="7">
        <v>79084</v>
      </c>
      <c r="D3" s="7">
        <v>862</v>
      </c>
      <c r="E3" s="8">
        <f>C3+D3+E2</f>
        <v>248735</v>
      </c>
      <c r="F3" s="8"/>
      <c r="G3" s="9">
        <v>3771.13</v>
      </c>
      <c r="H3" s="8">
        <v>51</v>
      </c>
      <c r="I3" s="8">
        <f t="shared" si="0"/>
        <v>191201.274509804</v>
      </c>
    </row>
    <row r="4" spans="2:9">
      <c r="B4" s="6" t="s">
        <v>9</v>
      </c>
      <c r="C4" s="7">
        <v>150356</v>
      </c>
      <c r="D4" s="7">
        <v>7822</v>
      </c>
      <c r="E4" s="8">
        <f t="shared" ref="E4:E42" si="1">C4+D4+E3</f>
        <v>406913</v>
      </c>
      <c r="F4" s="8"/>
      <c r="G4" s="9">
        <v>124438.68</v>
      </c>
      <c r="H4" s="8">
        <v>50</v>
      </c>
      <c r="I4" s="8">
        <f t="shared" si="0"/>
        <v>191861.74</v>
      </c>
    </row>
    <row r="5" spans="2:9">
      <c r="B5" s="6" t="s">
        <v>10</v>
      </c>
      <c r="C5" s="7">
        <v>37724</v>
      </c>
      <c r="D5" s="7">
        <v>3845</v>
      </c>
      <c r="E5" s="8">
        <f t="shared" si="1"/>
        <v>448482</v>
      </c>
      <c r="F5" s="8"/>
      <c r="G5" s="9">
        <v>386390.31</v>
      </c>
      <c r="H5" s="8">
        <v>49</v>
      </c>
      <c r="I5" s="8">
        <f t="shared" si="0"/>
        <v>194928.93877551</v>
      </c>
    </row>
    <row r="6" spans="2:9">
      <c r="B6" s="6" t="s">
        <v>11</v>
      </c>
      <c r="C6" s="7">
        <v>81829</v>
      </c>
      <c r="D6" s="7">
        <v>0</v>
      </c>
      <c r="E6" s="8">
        <f t="shared" si="1"/>
        <v>530311</v>
      </c>
      <c r="F6" s="8"/>
      <c r="G6" s="9">
        <v>696832.2</v>
      </c>
      <c r="H6" s="8">
        <v>48</v>
      </c>
      <c r="I6" s="8">
        <f t="shared" si="0"/>
        <v>197285.1875</v>
      </c>
    </row>
    <row r="7" spans="2:9">
      <c r="B7" s="6" t="s">
        <v>12</v>
      </c>
      <c r="C7" s="7">
        <v>15411</v>
      </c>
      <c r="D7" s="7">
        <v>0</v>
      </c>
      <c r="E7" s="8">
        <f t="shared" si="1"/>
        <v>545722</v>
      </c>
      <c r="F7" s="8"/>
      <c r="G7" s="9">
        <v>19279.32</v>
      </c>
      <c r="H7" s="8">
        <v>47</v>
      </c>
      <c r="I7" s="8">
        <f t="shared" si="0"/>
        <v>201154.85106383</v>
      </c>
    </row>
    <row r="8" spans="2:9">
      <c r="B8" s="6" t="s">
        <v>13</v>
      </c>
      <c r="C8" s="7">
        <v>186502</v>
      </c>
      <c r="D8" s="7">
        <v>1190</v>
      </c>
      <c r="E8" s="8">
        <f t="shared" si="1"/>
        <v>733414</v>
      </c>
      <c r="F8" s="8"/>
      <c r="G8" s="9">
        <v>317054.44</v>
      </c>
      <c r="H8" s="8">
        <v>46</v>
      </c>
      <c r="I8" s="8">
        <f t="shared" si="0"/>
        <v>201447.52173913</v>
      </c>
    </row>
    <row r="9" spans="2:9">
      <c r="B9" s="6" t="s">
        <v>14</v>
      </c>
      <c r="C9" s="7">
        <v>50831</v>
      </c>
      <c r="D9" s="7">
        <v>1711</v>
      </c>
      <c r="E9" s="8">
        <f t="shared" si="1"/>
        <v>785956</v>
      </c>
      <c r="F9" s="8"/>
      <c r="G9" s="9">
        <v>283801.48</v>
      </c>
      <c r="H9" s="8">
        <v>45</v>
      </c>
      <c r="I9" s="8">
        <f t="shared" si="0"/>
        <v>204756.533333333</v>
      </c>
    </row>
    <row r="10" spans="2:9">
      <c r="B10" s="6" t="s">
        <v>15</v>
      </c>
      <c r="C10" s="7">
        <v>61102</v>
      </c>
      <c r="D10" s="7">
        <v>1308</v>
      </c>
      <c r="E10" s="8">
        <f t="shared" si="1"/>
        <v>848366</v>
      </c>
      <c r="F10" s="8"/>
      <c r="G10" s="9">
        <v>46502.95</v>
      </c>
      <c r="H10" s="8">
        <v>44</v>
      </c>
      <c r="I10" s="8">
        <f t="shared" si="0"/>
        <v>207991.681818182</v>
      </c>
    </row>
    <row r="11" spans="2:9">
      <c r="B11" s="6" t="s">
        <v>16</v>
      </c>
      <c r="C11" s="7">
        <v>430305</v>
      </c>
      <c r="D11" s="7">
        <v>433</v>
      </c>
      <c r="E11" s="8">
        <f t="shared" si="1"/>
        <v>1279104</v>
      </c>
      <c r="F11" s="8"/>
      <c r="G11" s="9">
        <v>588910.42</v>
      </c>
      <c r="H11" s="8">
        <v>43</v>
      </c>
      <c r="I11" s="8">
        <f t="shared" si="0"/>
        <v>202811.534883721</v>
      </c>
    </row>
    <row r="12" spans="2:9">
      <c r="B12" s="6" t="s">
        <v>17</v>
      </c>
      <c r="C12" s="7">
        <v>148291</v>
      </c>
      <c r="D12" s="7">
        <v>200073</v>
      </c>
      <c r="E12" s="8">
        <f t="shared" si="1"/>
        <v>1627468</v>
      </c>
      <c r="F12" s="8"/>
      <c r="G12" s="9">
        <v>211749.71</v>
      </c>
      <c r="H12" s="8">
        <v>42</v>
      </c>
      <c r="I12" s="8">
        <f t="shared" si="0"/>
        <v>199346</v>
      </c>
    </row>
    <row r="13" spans="2:9">
      <c r="B13" s="6" t="s">
        <v>18</v>
      </c>
      <c r="C13" s="7">
        <v>218013</v>
      </c>
      <c r="D13" s="7">
        <v>155255</v>
      </c>
      <c r="E13" s="8">
        <f t="shared" si="1"/>
        <v>2000736</v>
      </c>
      <c r="F13" s="8"/>
      <c r="G13" s="9">
        <v>663813.11</v>
      </c>
      <c r="H13" s="8">
        <v>41</v>
      </c>
      <c r="I13" s="8">
        <f t="shared" si="0"/>
        <v>195104</v>
      </c>
    </row>
    <row r="14" spans="2:9">
      <c r="B14" s="6" t="s">
        <v>19</v>
      </c>
      <c r="C14" s="7">
        <v>552249</v>
      </c>
      <c r="D14" s="7">
        <v>7256</v>
      </c>
      <c r="E14" s="8">
        <f t="shared" si="1"/>
        <v>2560241</v>
      </c>
      <c r="F14" s="8"/>
      <c r="G14" s="9">
        <v>285557.7</v>
      </c>
      <c r="H14" s="8">
        <v>40</v>
      </c>
      <c r="I14" s="8">
        <f t="shared" si="0"/>
        <v>185993.975</v>
      </c>
    </row>
    <row r="15" spans="2:9">
      <c r="B15" s="6" t="s">
        <v>20</v>
      </c>
      <c r="C15" s="7">
        <v>264931</v>
      </c>
      <c r="D15" s="7">
        <v>2091</v>
      </c>
      <c r="E15" s="8">
        <f t="shared" si="1"/>
        <v>2827263</v>
      </c>
      <c r="F15" s="8"/>
      <c r="G15" s="9">
        <v>159861.42</v>
      </c>
      <c r="H15" s="8">
        <v>39</v>
      </c>
      <c r="I15" s="8">
        <f t="shared" si="0"/>
        <v>183916.333333333</v>
      </c>
    </row>
    <row r="16" spans="2:9">
      <c r="B16" s="6" t="s">
        <v>21</v>
      </c>
      <c r="C16" s="7">
        <v>260117</v>
      </c>
      <c r="D16" s="7">
        <v>23474</v>
      </c>
      <c r="E16" s="8">
        <f t="shared" si="1"/>
        <v>3110854</v>
      </c>
      <c r="F16" s="8"/>
      <c r="G16" s="9">
        <v>325983.54</v>
      </c>
      <c r="H16" s="8">
        <v>38</v>
      </c>
      <c r="I16" s="8">
        <f t="shared" si="0"/>
        <v>181293.315789474</v>
      </c>
    </row>
    <row r="17" spans="2:9">
      <c r="B17" s="6" t="s">
        <v>22</v>
      </c>
      <c r="C17" s="7">
        <v>232492</v>
      </c>
      <c r="D17" s="7">
        <v>34379</v>
      </c>
      <c r="E17" s="8">
        <f t="shared" si="1"/>
        <v>3377725</v>
      </c>
      <c r="F17" s="8"/>
      <c r="G17" s="9">
        <v>101017.49</v>
      </c>
      <c r="H17" s="8">
        <v>37</v>
      </c>
      <c r="I17" s="8">
        <f t="shared" si="0"/>
        <v>178980.405405405</v>
      </c>
    </row>
    <row r="18" spans="2:9">
      <c r="B18" s="6" t="s">
        <v>23</v>
      </c>
      <c r="C18" s="7">
        <v>356378</v>
      </c>
      <c r="D18" s="7">
        <v>26932</v>
      </c>
      <c r="E18" s="8">
        <f t="shared" si="1"/>
        <v>3761035</v>
      </c>
      <c r="F18" s="8"/>
      <c r="G18" s="9">
        <v>9041.06</v>
      </c>
      <c r="H18" s="8">
        <v>36</v>
      </c>
      <c r="I18" s="8">
        <f t="shared" si="0"/>
        <v>173304.583333333</v>
      </c>
    </row>
    <row r="19" spans="2:9">
      <c r="B19" s="6" t="s">
        <v>24</v>
      </c>
      <c r="C19" s="7">
        <v>89241</v>
      </c>
      <c r="D19" s="7">
        <v>27954</v>
      </c>
      <c r="E19" s="8">
        <f t="shared" si="1"/>
        <v>3878230</v>
      </c>
      <c r="F19" s="8"/>
      <c r="G19" s="9">
        <v>5178.54</v>
      </c>
      <c r="H19" s="8">
        <v>35</v>
      </c>
      <c r="I19" s="8">
        <f t="shared" si="0"/>
        <v>174907.714285714</v>
      </c>
    </row>
    <row r="20" spans="2:9">
      <c r="B20" s="6" t="s">
        <v>25</v>
      </c>
      <c r="C20" s="7">
        <v>52231</v>
      </c>
      <c r="D20" s="7">
        <v>23912</v>
      </c>
      <c r="E20" s="8">
        <f t="shared" si="1"/>
        <v>3954373</v>
      </c>
      <c r="F20" s="8"/>
      <c r="G20" s="9">
        <v>162946.16</v>
      </c>
      <c r="H20" s="8">
        <v>34</v>
      </c>
      <c r="I20" s="8">
        <f t="shared" si="0"/>
        <v>177812.558823529</v>
      </c>
    </row>
    <row r="21" spans="2:9">
      <c r="B21" s="6" t="s">
        <v>26</v>
      </c>
      <c r="C21" s="7">
        <v>81989</v>
      </c>
      <c r="D21" s="7">
        <v>42</v>
      </c>
      <c r="E21" s="8">
        <f t="shared" si="1"/>
        <v>4036404</v>
      </c>
      <c r="F21" s="8"/>
      <c r="G21" s="9">
        <v>130640.03</v>
      </c>
      <c r="H21" s="8">
        <v>33</v>
      </c>
      <c r="I21" s="8">
        <f t="shared" si="0"/>
        <v>180715.03030303</v>
      </c>
    </row>
    <row r="22" spans="2:9">
      <c r="B22" s="6" t="s">
        <v>27</v>
      </c>
      <c r="C22" s="7">
        <v>176729</v>
      </c>
      <c r="D22" s="7">
        <v>0</v>
      </c>
      <c r="E22" s="8">
        <f t="shared" si="1"/>
        <v>4213133</v>
      </c>
      <c r="F22" s="8"/>
      <c r="G22" s="9">
        <v>13933.28</v>
      </c>
      <c r="H22" s="8">
        <v>32</v>
      </c>
      <c r="I22" s="8">
        <f t="shared" si="0"/>
        <v>180839.59375</v>
      </c>
    </row>
    <row r="23" spans="2:9">
      <c r="B23" s="6" t="s">
        <v>28</v>
      </c>
      <c r="C23" s="7">
        <v>82269</v>
      </c>
      <c r="D23" s="7">
        <v>29865</v>
      </c>
      <c r="E23" s="8">
        <f t="shared" si="1"/>
        <v>4325267</v>
      </c>
      <c r="F23" s="8"/>
      <c r="G23" s="9">
        <v>83022.51</v>
      </c>
      <c r="H23" s="8">
        <v>31</v>
      </c>
      <c r="I23" s="8">
        <f t="shared" si="0"/>
        <v>183055.903225806</v>
      </c>
    </row>
    <row r="24" spans="2:9">
      <c r="B24" s="6" t="s">
        <v>29</v>
      </c>
      <c r="C24" s="7">
        <v>109416</v>
      </c>
      <c r="D24" s="7">
        <v>10022</v>
      </c>
      <c r="E24" s="8">
        <f t="shared" si="1"/>
        <v>4444705</v>
      </c>
      <c r="F24" s="8"/>
      <c r="G24" s="9">
        <v>119923.2</v>
      </c>
      <c r="H24" s="8">
        <v>30</v>
      </c>
      <c r="I24" s="8">
        <f t="shared" si="0"/>
        <v>185176.5</v>
      </c>
    </row>
    <row r="25" spans="2:9">
      <c r="B25" s="6" t="s">
        <v>30</v>
      </c>
      <c r="C25" s="7">
        <v>224657</v>
      </c>
      <c r="D25" s="7">
        <v>30041</v>
      </c>
      <c r="E25" s="8">
        <f t="shared" si="1"/>
        <v>4699403</v>
      </c>
      <c r="F25" s="8"/>
      <c r="G25" s="9">
        <v>79417.84</v>
      </c>
      <c r="H25" s="8">
        <v>29</v>
      </c>
      <c r="I25" s="8">
        <f t="shared" si="0"/>
        <v>182779.206896552</v>
      </c>
    </row>
    <row r="26" spans="2:9">
      <c r="B26" s="6" t="s">
        <v>31</v>
      </c>
      <c r="C26" s="7">
        <v>210494</v>
      </c>
      <c r="D26" s="7">
        <v>7539</v>
      </c>
      <c r="E26" s="8">
        <f t="shared" si="1"/>
        <v>4917436</v>
      </c>
      <c r="F26" s="8"/>
      <c r="G26" s="9">
        <v>430852.42</v>
      </c>
      <c r="H26" s="8">
        <v>28</v>
      </c>
      <c r="I26" s="8">
        <f t="shared" si="0"/>
        <v>181520.142857143</v>
      </c>
    </row>
    <row r="27" spans="2:9">
      <c r="B27" s="6" t="s">
        <v>32</v>
      </c>
      <c r="C27" s="7">
        <v>184095</v>
      </c>
      <c r="D27" s="7">
        <v>64693</v>
      </c>
      <c r="E27" s="8">
        <f t="shared" si="1"/>
        <v>5166224</v>
      </c>
      <c r="F27" s="8"/>
      <c r="G27" s="9">
        <v>305026.21</v>
      </c>
      <c r="H27" s="8">
        <v>27</v>
      </c>
      <c r="I27" s="8">
        <f t="shared" si="0"/>
        <v>179028.740740741</v>
      </c>
    </row>
    <row r="28" spans="2:9">
      <c r="B28" s="6" t="s">
        <v>33</v>
      </c>
      <c r="C28" s="7">
        <v>308691</v>
      </c>
      <c r="D28" s="7">
        <v>16457</v>
      </c>
      <c r="E28" s="8">
        <f t="shared" si="1"/>
        <v>5491372</v>
      </c>
      <c r="F28" s="8"/>
      <c r="G28" s="9">
        <v>1190453.29</v>
      </c>
      <c r="H28" s="8">
        <v>26</v>
      </c>
      <c r="I28" s="8">
        <f t="shared" si="0"/>
        <v>173408.769230769</v>
      </c>
    </row>
    <row r="29" spans="2:9">
      <c r="B29" s="6" t="s">
        <v>34</v>
      </c>
      <c r="C29" s="7">
        <v>123492</v>
      </c>
      <c r="D29" s="7">
        <v>72277</v>
      </c>
      <c r="E29" s="8">
        <f t="shared" si="1"/>
        <v>5687141</v>
      </c>
      <c r="F29" s="8"/>
      <c r="G29" s="9">
        <v>2147.02</v>
      </c>
      <c r="H29" s="8">
        <v>25</v>
      </c>
      <c r="I29" s="8">
        <f t="shared" si="0"/>
        <v>172514.36</v>
      </c>
    </row>
    <row r="30" spans="2:9">
      <c r="B30" s="6" t="s">
        <v>35</v>
      </c>
      <c r="C30" s="7">
        <v>70855</v>
      </c>
      <c r="D30" s="7">
        <v>13384</v>
      </c>
      <c r="E30" s="8">
        <f t="shared" si="1"/>
        <v>5771380</v>
      </c>
      <c r="F30" s="8"/>
      <c r="G30" s="9">
        <v>5917.42</v>
      </c>
      <c r="H30" s="8">
        <v>24</v>
      </c>
      <c r="I30" s="8">
        <f t="shared" si="0"/>
        <v>176192.5</v>
      </c>
    </row>
    <row r="31" spans="2:9">
      <c r="B31" s="6" t="s">
        <v>36</v>
      </c>
      <c r="C31" s="7">
        <v>151076</v>
      </c>
      <c r="D31" s="7">
        <v>5054</v>
      </c>
      <c r="E31" s="8">
        <f t="shared" si="1"/>
        <v>5927510</v>
      </c>
      <c r="F31" s="8"/>
      <c r="G31" s="9">
        <v>12142.7</v>
      </c>
      <c r="H31" s="8">
        <v>23</v>
      </c>
      <c r="I31" s="8">
        <f t="shared" si="0"/>
        <v>177064.782608696</v>
      </c>
    </row>
    <row r="32" spans="2:9">
      <c r="B32" s="6" t="s">
        <v>37</v>
      </c>
      <c r="C32" s="7">
        <v>160730</v>
      </c>
      <c r="D32" s="7">
        <v>4763</v>
      </c>
      <c r="E32" s="8">
        <f t="shared" si="1"/>
        <v>6093003</v>
      </c>
      <c r="F32" s="8"/>
      <c r="G32" s="9">
        <v>151510.6</v>
      </c>
      <c r="H32" s="8">
        <v>22</v>
      </c>
      <c r="I32" s="8">
        <f t="shared" si="0"/>
        <v>177590.772727273</v>
      </c>
    </row>
    <row r="33" spans="2:9">
      <c r="B33" s="6" t="s">
        <v>38</v>
      </c>
      <c r="C33" s="7">
        <v>233661</v>
      </c>
      <c r="D33" s="7">
        <v>17997</v>
      </c>
      <c r="E33" s="8">
        <f t="shared" si="1"/>
        <v>6344661</v>
      </c>
      <c r="F33" s="8"/>
      <c r="G33" s="9">
        <v>6468.59</v>
      </c>
      <c r="H33" s="8">
        <v>21</v>
      </c>
      <c r="I33" s="8">
        <f t="shared" si="0"/>
        <v>174063.761904762</v>
      </c>
    </row>
    <row r="34" spans="2:9">
      <c r="B34" s="6" t="s">
        <v>39</v>
      </c>
      <c r="C34" s="7">
        <v>67371</v>
      </c>
      <c r="D34" s="7">
        <v>1130</v>
      </c>
      <c r="E34" s="8">
        <f t="shared" si="1"/>
        <v>6413162</v>
      </c>
      <c r="F34" s="8"/>
      <c r="G34" s="9">
        <v>704411.77</v>
      </c>
      <c r="H34" s="8">
        <v>20</v>
      </c>
      <c r="I34" s="8">
        <f t="shared" si="0"/>
        <v>179341.9</v>
      </c>
    </row>
    <row r="35" spans="2:9">
      <c r="B35" s="6" t="s">
        <v>40</v>
      </c>
      <c r="C35" s="7">
        <v>67824</v>
      </c>
      <c r="D35" s="7">
        <v>86729</v>
      </c>
      <c r="E35" s="8">
        <f t="shared" si="1"/>
        <v>6567715</v>
      </c>
      <c r="F35" s="8"/>
      <c r="G35" s="9">
        <v>477788.28</v>
      </c>
      <c r="H35" s="8">
        <v>19</v>
      </c>
      <c r="I35" s="8">
        <f t="shared" si="0"/>
        <v>180646.578947368</v>
      </c>
    </row>
    <row r="36" spans="2:9">
      <c r="B36" s="6" t="s">
        <v>41</v>
      </c>
      <c r="C36" s="7">
        <v>164800</v>
      </c>
      <c r="D36" s="7">
        <v>15717</v>
      </c>
      <c r="E36" s="8">
        <f t="shared" si="1"/>
        <v>6748232</v>
      </c>
      <c r="F36" s="8"/>
      <c r="G36" s="9">
        <v>187329.89</v>
      </c>
      <c r="H36" s="8">
        <v>18</v>
      </c>
      <c r="I36" s="8">
        <f t="shared" si="0"/>
        <v>180653.777777778</v>
      </c>
    </row>
    <row r="37" spans="2:9">
      <c r="B37" s="6" t="s">
        <v>42</v>
      </c>
      <c r="C37" s="7">
        <v>41801</v>
      </c>
      <c r="D37" s="7">
        <v>25844</v>
      </c>
      <c r="E37" s="8">
        <f t="shared" si="1"/>
        <v>6815877</v>
      </c>
      <c r="F37" s="8"/>
      <c r="G37" s="9">
        <v>152202.88</v>
      </c>
      <c r="H37" s="8">
        <v>17</v>
      </c>
      <c r="I37" s="8">
        <f t="shared" si="0"/>
        <v>187301.352941176</v>
      </c>
    </row>
    <row r="38" spans="2:9">
      <c r="B38" s="6" t="s">
        <v>43</v>
      </c>
      <c r="C38" s="7">
        <v>107343</v>
      </c>
      <c r="D38" s="7">
        <v>192891</v>
      </c>
      <c r="E38" s="8">
        <f t="shared" si="1"/>
        <v>7116111</v>
      </c>
      <c r="F38" s="8"/>
      <c r="G38" s="9">
        <v>121608.75</v>
      </c>
      <c r="H38" s="8">
        <v>16</v>
      </c>
      <c r="I38" s="8">
        <f t="shared" si="0"/>
        <v>180243.0625</v>
      </c>
    </row>
    <row r="39" spans="2:9">
      <c r="B39" s="6" t="s">
        <v>44</v>
      </c>
      <c r="C39" s="7">
        <v>155426</v>
      </c>
      <c r="D39" s="7">
        <v>89565</v>
      </c>
      <c r="E39" s="8">
        <f t="shared" si="1"/>
        <v>7361102</v>
      </c>
      <c r="F39" s="8"/>
      <c r="G39" s="9">
        <v>125210.11</v>
      </c>
      <c r="H39" s="8">
        <v>15</v>
      </c>
      <c r="I39" s="8">
        <f t="shared" si="0"/>
        <v>175926.533333333</v>
      </c>
    </row>
    <row r="40" spans="2:9">
      <c r="B40" s="6" t="s">
        <v>45</v>
      </c>
      <c r="C40" s="7">
        <v>26922</v>
      </c>
      <c r="D40" s="7">
        <v>150930</v>
      </c>
      <c r="E40" s="8">
        <f t="shared" si="1"/>
        <v>7538954</v>
      </c>
      <c r="F40" s="8"/>
      <c r="G40" s="9">
        <v>206036.37</v>
      </c>
      <c r="H40" s="8">
        <v>14</v>
      </c>
      <c r="I40" s="8">
        <f t="shared" si="0"/>
        <v>175789</v>
      </c>
    </row>
    <row r="41" spans="2:9">
      <c r="B41" s="6" t="s">
        <v>46</v>
      </c>
      <c r="C41" s="7">
        <v>15554</v>
      </c>
      <c r="D41" s="7">
        <v>77341</v>
      </c>
      <c r="E41" s="8">
        <f t="shared" si="1"/>
        <v>7631849</v>
      </c>
      <c r="G41" s="9">
        <v>5928.39</v>
      </c>
      <c r="H41" s="8">
        <v>13</v>
      </c>
      <c r="I41" s="8">
        <f t="shared" si="0"/>
        <v>182165.461538462</v>
      </c>
    </row>
    <row r="42" spans="2:9">
      <c r="B42" s="6" t="s">
        <v>47</v>
      </c>
      <c r="C42" s="7">
        <v>9867</v>
      </c>
      <c r="D42" s="7">
        <v>10151</v>
      </c>
      <c r="E42" s="8">
        <f t="shared" si="1"/>
        <v>7651867</v>
      </c>
      <c r="F42" s="8"/>
      <c r="G42" s="9">
        <v>176298.85</v>
      </c>
      <c r="H42" s="8">
        <v>12</v>
      </c>
      <c r="I42" s="8">
        <f t="shared" si="0"/>
        <v>195677.75</v>
      </c>
    </row>
    <row r="43" spans="2:9">
      <c r="B43" s="6" t="s">
        <v>48</v>
      </c>
      <c r="C43" s="7">
        <v>16448.81</v>
      </c>
      <c r="D43" s="7">
        <v>58346.62</v>
      </c>
      <c r="E43" s="8">
        <f t="shared" ref="E43:E52" si="2">C43+D43+E42</f>
        <v>7726662.43</v>
      </c>
      <c r="F43" s="8">
        <v>500000</v>
      </c>
      <c r="G43" s="9">
        <v>105499.47</v>
      </c>
      <c r="H43" s="8">
        <v>11</v>
      </c>
      <c r="I43" s="8">
        <f>(10000000-E43-500000)/H43</f>
        <v>161212.506363636</v>
      </c>
    </row>
    <row r="44" spans="2:9">
      <c r="B44" s="6" t="s">
        <v>49</v>
      </c>
      <c r="C44" s="7">
        <v>57262.28</v>
      </c>
      <c r="D44" s="7">
        <v>52307.36</v>
      </c>
      <c r="E44" s="8">
        <f t="shared" si="2"/>
        <v>7836232.07</v>
      </c>
      <c r="F44" s="8">
        <v>500000</v>
      </c>
      <c r="G44" s="9">
        <v>157977.26</v>
      </c>
      <c r="H44" s="8">
        <v>10</v>
      </c>
      <c r="I44" s="8">
        <f t="shared" ref="I44:I53" si="3">(10000000-E44-500000)/H44</f>
        <v>166376.793</v>
      </c>
    </row>
    <row r="45" spans="2:9">
      <c r="B45" s="6" t="s">
        <v>50</v>
      </c>
      <c r="C45" s="7">
        <v>73191</v>
      </c>
      <c r="D45" s="7">
        <v>15691</v>
      </c>
      <c r="E45" s="8">
        <f t="shared" si="2"/>
        <v>7925114.07</v>
      </c>
      <c r="F45" s="8">
        <v>500000</v>
      </c>
      <c r="G45" s="9">
        <v>184556.05</v>
      </c>
      <c r="H45" s="8">
        <v>9</v>
      </c>
      <c r="I45" s="8">
        <f t="shared" si="3"/>
        <v>174987.325555556</v>
      </c>
    </row>
    <row r="46" spans="2:9">
      <c r="B46" s="6" t="s">
        <v>51</v>
      </c>
      <c r="C46" s="7">
        <v>24329.61</v>
      </c>
      <c r="D46" s="7">
        <v>32807.62</v>
      </c>
      <c r="E46" s="8">
        <f t="shared" si="2"/>
        <v>7982251.3</v>
      </c>
      <c r="F46" s="8">
        <v>500000</v>
      </c>
      <c r="G46" s="9">
        <v>124074.44</v>
      </c>
      <c r="H46" s="8">
        <v>8</v>
      </c>
      <c r="I46" s="8">
        <f t="shared" si="3"/>
        <v>189718.5875</v>
      </c>
    </row>
    <row r="47" spans="2:9">
      <c r="B47" s="6" t="s">
        <v>52</v>
      </c>
      <c r="C47" s="7">
        <v>21275.37</v>
      </c>
      <c r="D47" s="7">
        <v>8163.6</v>
      </c>
      <c r="E47" s="8">
        <f t="shared" si="2"/>
        <v>8011690.27</v>
      </c>
      <c r="F47" s="8">
        <v>500000</v>
      </c>
      <c r="G47" s="9">
        <v>89210.35</v>
      </c>
      <c r="H47" s="8">
        <v>7</v>
      </c>
      <c r="I47" s="8">
        <f t="shared" si="3"/>
        <v>212615.675714286</v>
      </c>
    </row>
    <row r="48" spans="2:9">
      <c r="B48" s="6" t="s">
        <v>53</v>
      </c>
      <c r="C48" s="7">
        <v>41331</v>
      </c>
      <c r="D48" s="7">
        <v>30202</v>
      </c>
      <c r="E48" s="7">
        <f t="shared" si="2"/>
        <v>8083223.27</v>
      </c>
      <c r="F48" s="8">
        <v>500000</v>
      </c>
      <c r="G48" s="9">
        <v>165802.64</v>
      </c>
      <c r="H48" s="8">
        <v>6</v>
      </c>
      <c r="I48" s="8">
        <f t="shared" si="3"/>
        <v>236129.455</v>
      </c>
    </row>
    <row r="49" spans="2:9">
      <c r="B49" s="6" t="s">
        <v>54</v>
      </c>
      <c r="C49" s="7">
        <v>30859</v>
      </c>
      <c r="D49" s="7">
        <v>42010</v>
      </c>
      <c r="E49" s="7">
        <f t="shared" si="2"/>
        <v>8156092.27</v>
      </c>
      <c r="F49" s="8">
        <v>500000</v>
      </c>
      <c r="G49" s="9">
        <v>210623.05</v>
      </c>
      <c r="H49" s="8">
        <v>5</v>
      </c>
      <c r="I49" s="8">
        <f t="shared" si="3"/>
        <v>268781.546</v>
      </c>
    </row>
    <row r="50" spans="2:9">
      <c r="B50" s="6" t="s">
        <v>55</v>
      </c>
      <c r="C50" s="7">
        <v>34959</v>
      </c>
      <c r="D50" s="7">
        <v>98565</v>
      </c>
      <c r="E50" s="7">
        <f t="shared" si="2"/>
        <v>8289616.27</v>
      </c>
      <c r="F50" s="8">
        <v>500000</v>
      </c>
      <c r="G50" s="9">
        <v>0</v>
      </c>
      <c r="H50" s="8">
        <v>4</v>
      </c>
      <c r="I50" s="8">
        <f t="shared" si="3"/>
        <v>302595.9325</v>
      </c>
    </row>
    <row r="51" spans="2:9">
      <c r="B51" s="6" t="s">
        <v>56</v>
      </c>
      <c r="C51" s="7">
        <v>20046.14</v>
      </c>
      <c r="D51" s="7">
        <v>62570.16</v>
      </c>
      <c r="E51" s="7">
        <f t="shared" si="2"/>
        <v>8372232.57</v>
      </c>
      <c r="F51" s="8">
        <v>500000</v>
      </c>
      <c r="G51" s="9">
        <v>11234.27</v>
      </c>
      <c r="H51" s="8">
        <v>3</v>
      </c>
      <c r="I51" s="8">
        <f t="shared" si="3"/>
        <v>375922.476666667</v>
      </c>
    </row>
    <row r="52" spans="2:9">
      <c r="B52" s="6" t="s">
        <v>57</v>
      </c>
      <c r="C52" s="7">
        <v>79438.99</v>
      </c>
      <c r="D52" s="7">
        <v>119083.39</v>
      </c>
      <c r="E52" s="7">
        <f t="shared" si="2"/>
        <v>8570754.95</v>
      </c>
      <c r="F52" s="8">
        <v>500000</v>
      </c>
      <c r="G52" s="9">
        <v>21991.43</v>
      </c>
      <c r="H52" s="8">
        <v>2</v>
      </c>
      <c r="I52" s="8">
        <f t="shared" si="3"/>
        <v>464622.525</v>
      </c>
    </row>
    <row r="53" spans="2:9">
      <c r="B53" s="6" t="s">
        <v>58</v>
      </c>
      <c r="C53" s="7">
        <v>155614.8</v>
      </c>
      <c r="D53" s="7">
        <v>46313.71</v>
      </c>
      <c r="E53" s="7">
        <f t="shared" ref="E53" si="4">C53+D53+E52</f>
        <v>8772683.46</v>
      </c>
      <c r="F53" s="8">
        <v>500000</v>
      </c>
      <c r="G53" s="9">
        <v>71350.44</v>
      </c>
      <c r="H53" s="8">
        <v>1</v>
      </c>
      <c r="I53" s="8">
        <f t="shared" si="3"/>
        <v>727316.540000001</v>
      </c>
    </row>
    <row r="54" spans="2:14">
      <c r="B54" s="6" t="s">
        <v>59</v>
      </c>
      <c r="C54" s="7">
        <f>SUM(C2:C53)</f>
        <v>6765074</v>
      </c>
      <c r="D54" s="7">
        <f>SUM(D2:D53)</f>
        <v>2007609.46</v>
      </c>
      <c r="E54" s="8"/>
      <c r="F54" s="2">
        <f>C54+D54+F50</f>
        <v>9272683.46</v>
      </c>
      <c r="H54" s="8"/>
      <c r="N54">
        <v>8482251.3</v>
      </c>
    </row>
    <row r="56" spans="3:6">
      <c r="C56" s="1" t="s">
        <v>1</v>
      </c>
      <c r="D56" s="1" t="s">
        <v>2</v>
      </c>
      <c r="F56" s="2" t="s">
        <v>59</v>
      </c>
    </row>
    <row r="57" spans="3:6">
      <c r="C57" s="1">
        <v>6765074</v>
      </c>
      <c r="D57" s="1">
        <v>2007609.46</v>
      </c>
      <c r="F57" s="2">
        <v>9272683.46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60"/>
  <sheetViews>
    <sheetView tabSelected="1" zoomScale="70" zoomScaleNormal="70" workbookViewId="0">
      <pane ySplit="1" topLeftCell="A2" activePane="bottomLeft" state="frozen"/>
      <selection/>
      <selection pane="bottomLeft" activeCell="I23" sqref="I23"/>
    </sheetView>
  </sheetViews>
  <sheetFormatPr defaultColWidth="9" defaultRowHeight="13.5"/>
  <cols>
    <col min="3" max="3" width="10.25" style="1" customWidth="1"/>
    <col min="4" max="4" width="10.875" style="1" customWidth="1"/>
    <col min="5" max="10" width="10.25" style="2" customWidth="1"/>
    <col min="11" max="11" width="12.375" style="2" customWidth="1"/>
  </cols>
  <sheetData>
    <row r="1" spans="2:11">
      <c r="B1" s="3" t="s">
        <v>0</v>
      </c>
      <c r="C1" s="4" t="s">
        <v>1</v>
      </c>
      <c r="D1" s="4" t="s">
        <v>2</v>
      </c>
      <c r="E1" s="5" t="s">
        <v>60</v>
      </c>
      <c r="F1" s="5" t="s">
        <v>61</v>
      </c>
      <c r="G1" s="5" t="s">
        <v>62</v>
      </c>
      <c r="H1" s="5"/>
      <c r="I1" s="5" t="s">
        <v>5</v>
      </c>
      <c r="J1" s="5"/>
      <c r="K1" s="5" t="s">
        <v>6</v>
      </c>
    </row>
    <row r="2" spans="2:11">
      <c r="B2" s="6" t="s">
        <v>7</v>
      </c>
      <c r="C2" s="7">
        <v>39212.67302</v>
      </c>
      <c r="D2" s="7">
        <v>1965.93</v>
      </c>
      <c r="E2" s="8">
        <f>C2+D2</f>
        <v>41178.60302</v>
      </c>
      <c r="F2" s="8">
        <v>168789</v>
      </c>
      <c r="G2" s="8">
        <v>168789</v>
      </c>
      <c r="H2" s="8"/>
      <c r="I2" s="8">
        <v>0</v>
      </c>
      <c r="J2" s="8">
        <v>52</v>
      </c>
      <c r="K2" s="8">
        <f>(10000000-E2)/J2</f>
        <v>191515.796095769</v>
      </c>
    </row>
    <row r="3" spans="2:11">
      <c r="B3" s="6" t="s">
        <v>8</v>
      </c>
      <c r="C3" s="7">
        <v>18011.94</v>
      </c>
      <c r="D3" s="7">
        <v>7639.05</v>
      </c>
      <c r="E3" s="8">
        <f>C3+D3+E2</f>
        <v>66829.59302</v>
      </c>
      <c r="F3" s="8">
        <v>79946</v>
      </c>
      <c r="G3" s="8">
        <v>248735</v>
      </c>
      <c r="H3" s="8"/>
      <c r="I3" s="9">
        <v>128.73</v>
      </c>
      <c r="J3" s="8">
        <v>51</v>
      </c>
      <c r="K3" s="8">
        <f t="shared" ref="K3:K34" si="0">(10000000-E3)/J3</f>
        <v>194768.047195686</v>
      </c>
    </row>
    <row r="4" spans="2:11">
      <c r="B4" s="6" t="s">
        <v>9</v>
      </c>
      <c r="C4" s="7">
        <v>7069</v>
      </c>
      <c r="D4" s="7">
        <v>16551</v>
      </c>
      <c r="E4" s="8">
        <f>C4+D4+E3</f>
        <v>90449.59302</v>
      </c>
      <c r="F4" s="8">
        <v>158178</v>
      </c>
      <c r="G4" s="8">
        <v>406913</v>
      </c>
      <c r="H4" s="8"/>
      <c r="I4" s="8">
        <v>5093</v>
      </c>
      <c r="J4" s="8">
        <v>50</v>
      </c>
      <c r="K4" s="8">
        <f t="shared" si="0"/>
        <v>198191.0081396</v>
      </c>
    </row>
    <row r="5" spans="2:11">
      <c r="B5" s="6" t="s">
        <v>10</v>
      </c>
      <c r="C5" s="7">
        <v>16370.62</v>
      </c>
      <c r="D5" s="7">
        <v>18694.04</v>
      </c>
      <c r="E5" s="8">
        <f t="shared" ref="E5:E53" si="1">C5+D5+E4</f>
        <v>125514.25302</v>
      </c>
      <c r="F5" s="8">
        <v>41569</v>
      </c>
      <c r="G5" s="8">
        <v>448482</v>
      </c>
      <c r="H5" s="8"/>
      <c r="I5" s="8">
        <v>153021.99</v>
      </c>
      <c r="J5" s="8">
        <v>49</v>
      </c>
      <c r="K5" s="8">
        <f t="shared" si="0"/>
        <v>201520.117285306</v>
      </c>
    </row>
    <row r="6" spans="2:11">
      <c r="B6" s="6" t="s">
        <v>11</v>
      </c>
      <c r="C6" s="7">
        <v>32164.85</v>
      </c>
      <c r="D6" s="7">
        <v>16873.42</v>
      </c>
      <c r="E6" s="8">
        <f t="shared" si="1"/>
        <v>174552.52302</v>
      </c>
      <c r="F6" s="8">
        <v>81829</v>
      </c>
      <c r="G6" s="8">
        <v>530311</v>
      </c>
      <c r="H6" s="8"/>
      <c r="I6" s="8">
        <v>0</v>
      </c>
      <c r="J6" s="8">
        <v>48</v>
      </c>
      <c r="K6" s="8">
        <f t="shared" si="0"/>
        <v>204696.822437083</v>
      </c>
    </row>
    <row r="7" spans="2:11">
      <c r="B7" s="6" t="s">
        <v>12</v>
      </c>
      <c r="C7" s="7">
        <v>22067.6</v>
      </c>
      <c r="D7" s="7">
        <v>10337.01</v>
      </c>
      <c r="E7" s="8">
        <f t="shared" si="1"/>
        <v>206957.13302</v>
      </c>
      <c r="F7" s="8">
        <v>15411</v>
      </c>
      <c r="G7" s="8">
        <v>545722</v>
      </c>
      <c r="H7" s="8"/>
      <c r="I7" s="8">
        <v>0</v>
      </c>
      <c r="J7" s="8">
        <v>47</v>
      </c>
      <c r="K7" s="8">
        <f t="shared" si="0"/>
        <v>208362.614191064</v>
      </c>
    </row>
    <row r="8" spans="2:11">
      <c r="B8" s="6" t="s">
        <v>13</v>
      </c>
      <c r="C8" s="7">
        <v>5174.75</v>
      </c>
      <c r="D8" s="7">
        <v>48919</v>
      </c>
      <c r="E8" s="8">
        <f t="shared" si="1"/>
        <v>261050.88302</v>
      </c>
      <c r="F8" s="8">
        <v>187692</v>
      </c>
      <c r="G8" s="8">
        <v>733414</v>
      </c>
      <c r="H8" s="8"/>
      <c r="I8" s="8">
        <v>0</v>
      </c>
      <c r="J8" s="8">
        <v>46</v>
      </c>
      <c r="K8" s="8">
        <f t="shared" si="0"/>
        <v>211716.285151739</v>
      </c>
    </row>
    <row r="9" spans="2:11">
      <c r="B9" s="6" t="s">
        <v>14</v>
      </c>
      <c r="C9" s="7">
        <v>0</v>
      </c>
      <c r="D9" s="7">
        <v>0</v>
      </c>
      <c r="E9" s="8">
        <f t="shared" si="1"/>
        <v>261050.88302</v>
      </c>
      <c r="F9" s="8">
        <v>52542</v>
      </c>
      <c r="G9" s="8">
        <v>785956</v>
      </c>
      <c r="H9" s="8"/>
      <c r="I9" s="8">
        <v>0</v>
      </c>
      <c r="J9" s="8">
        <v>45</v>
      </c>
      <c r="K9" s="8">
        <f t="shared" si="0"/>
        <v>216421.091488444</v>
      </c>
    </row>
    <row r="10" spans="2:11">
      <c r="B10" s="6" t="s">
        <v>15</v>
      </c>
      <c r="C10" s="7">
        <v>6189</v>
      </c>
      <c r="D10" s="7">
        <v>37528</v>
      </c>
      <c r="E10" s="8">
        <f t="shared" si="1"/>
        <v>304767.88302</v>
      </c>
      <c r="F10" s="8">
        <v>62410</v>
      </c>
      <c r="G10" s="8">
        <v>848366</v>
      </c>
      <c r="H10" s="8"/>
      <c r="I10" s="8">
        <v>0</v>
      </c>
      <c r="J10" s="8">
        <v>44</v>
      </c>
      <c r="K10" s="8">
        <f t="shared" si="0"/>
        <v>220346.184476818</v>
      </c>
    </row>
    <row r="11" spans="2:11">
      <c r="B11" s="6" t="s">
        <v>16</v>
      </c>
      <c r="C11" s="7">
        <v>5559</v>
      </c>
      <c r="D11" s="7">
        <v>74532</v>
      </c>
      <c r="E11" s="8">
        <f t="shared" si="1"/>
        <v>384858.88302</v>
      </c>
      <c r="F11" s="8">
        <v>430738</v>
      </c>
      <c r="G11" s="8">
        <v>1279104</v>
      </c>
      <c r="H11" s="8"/>
      <c r="I11" s="8">
        <v>174506</v>
      </c>
      <c r="J11" s="8">
        <v>43</v>
      </c>
      <c r="K11" s="8">
        <f t="shared" si="0"/>
        <v>223607.932953023</v>
      </c>
    </row>
    <row r="12" spans="2:11">
      <c r="B12" s="6" t="s">
        <v>17</v>
      </c>
      <c r="C12" s="7">
        <v>12715</v>
      </c>
      <c r="D12" s="7">
        <v>3435</v>
      </c>
      <c r="E12" s="8">
        <f t="shared" si="1"/>
        <v>401008.88302</v>
      </c>
      <c r="F12" s="8">
        <v>348364</v>
      </c>
      <c r="G12" s="8">
        <v>1627468</v>
      </c>
      <c r="H12" s="8"/>
      <c r="I12" s="8">
        <v>52058</v>
      </c>
      <c r="J12" s="8">
        <v>42</v>
      </c>
      <c r="K12" s="8">
        <f t="shared" si="0"/>
        <v>228547.407547143</v>
      </c>
    </row>
    <row r="13" spans="2:11">
      <c r="B13" s="6" t="s">
        <v>18</v>
      </c>
      <c r="C13" s="7">
        <v>23974</v>
      </c>
      <c r="D13" s="7">
        <v>29564</v>
      </c>
      <c r="E13" s="8">
        <f t="shared" si="1"/>
        <v>454546.88302</v>
      </c>
      <c r="F13" s="8">
        <v>373268</v>
      </c>
      <c r="G13" s="8">
        <v>2000736</v>
      </c>
      <c r="H13" s="8"/>
      <c r="I13" s="8">
        <v>43388</v>
      </c>
      <c r="J13" s="8">
        <v>41</v>
      </c>
      <c r="K13" s="8">
        <f t="shared" si="0"/>
        <v>232815.929682439</v>
      </c>
    </row>
    <row r="14" spans="2:11">
      <c r="B14" s="6" t="s">
        <v>19</v>
      </c>
      <c r="C14" s="7">
        <v>4690</v>
      </c>
      <c r="D14" s="7">
        <v>45742</v>
      </c>
      <c r="E14" s="8">
        <f t="shared" si="1"/>
        <v>504978.88302</v>
      </c>
      <c r="F14" s="8">
        <v>559505</v>
      </c>
      <c r="G14" s="8">
        <v>2560241</v>
      </c>
      <c r="H14" s="8"/>
      <c r="I14" s="8">
        <v>64061</v>
      </c>
      <c r="J14" s="8">
        <v>40</v>
      </c>
      <c r="K14" s="8">
        <f t="shared" si="0"/>
        <v>237375.5279245</v>
      </c>
    </row>
    <row r="15" spans="2:11">
      <c r="B15" s="6" t="s">
        <v>20</v>
      </c>
      <c r="C15" s="7">
        <v>12642</v>
      </c>
      <c r="D15" s="7">
        <v>275190</v>
      </c>
      <c r="E15" s="8">
        <f t="shared" si="1"/>
        <v>792810.88302</v>
      </c>
      <c r="F15" s="8">
        <v>267022</v>
      </c>
      <c r="G15" s="8">
        <v>2827263</v>
      </c>
      <c r="H15" s="8"/>
      <c r="I15" s="8">
        <v>157452</v>
      </c>
      <c r="J15" s="8">
        <v>39</v>
      </c>
      <c r="K15" s="8">
        <f t="shared" si="0"/>
        <v>236081.772230256</v>
      </c>
    </row>
    <row r="16" spans="2:11">
      <c r="B16" s="6" t="s">
        <v>21</v>
      </c>
      <c r="C16" s="7">
        <v>49831.52</v>
      </c>
      <c r="D16" s="7">
        <v>80938.47</v>
      </c>
      <c r="E16" s="8">
        <f t="shared" si="1"/>
        <v>923580.87302</v>
      </c>
      <c r="F16" s="8">
        <v>283591</v>
      </c>
      <c r="G16" s="8">
        <v>3110854</v>
      </c>
      <c r="H16" s="8"/>
      <c r="I16" s="8">
        <v>146828.73</v>
      </c>
      <c r="J16" s="8">
        <v>38</v>
      </c>
      <c r="K16" s="8">
        <f t="shared" si="0"/>
        <v>238853.134920526</v>
      </c>
    </row>
    <row r="17" spans="2:11">
      <c r="B17" s="6" t="s">
        <v>22</v>
      </c>
      <c r="C17" s="7"/>
      <c r="D17" s="7"/>
      <c r="E17" s="8">
        <f t="shared" si="1"/>
        <v>923580.87302</v>
      </c>
      <c r="F17" s="8">
        <v>266871</v>
      </c>
      <c r="G17" s="8">
        <v>3377725</v>
      </c>
      <c r="H17" s="8"/>
      <c r="I17" s="9"/>
      <c r="J17" s="8">
        <v>37</v>
      </c>
      <c r="K17" s="8">
        <f t="shared" si="0"/>
        <v>245308.625053514</v>
      </c>
    </row>
    <row r="18" spans="2:11">
      <c r="B18" s="6" t="s">
        <v>23</v>
      </c>
      <c r="C18" s="7"/>
      <c r="D18" s="7"/>
      <c r="E18" s="8">
        <f t="shared" si="1"/>
        <v>923580.87302</v>
      </c>
      <c r="F18" s="8">
        <v>383310</v>
      </c>
      <c r="G18" s="8">
        <v>3761035</v>
      </c>
      <c r="H18" s="8"/>
      <c r="I18" s="9"/>
      <c r="J18" s="8">
        <v>36</v>
      </c>
      <c r="K18" s="8">
        <f t="shared" si="0"/>
        <v>252122.753527222</v>
      </c>
    </row>
    <row r="19" spans="2:11">
      <c r="B19" s="6" t="s">
        <v>24</v>
      </c>
      <c r="C19" s="7"/>
      <c r="D19" s="7"/>
      <c r="E19" s="8">
        <f t="shared" si="1"/>
        <v>923580.87302</v>
      </c>
      <c r="F19" s="8">
        <v>117195</v>
      </c>
      <c r="G19" s="8">
        <v>3878230</v>
      </c>
      <c r="H19" s="8"/>
      <c r="I19" s="9"/>
      <c r="J19" s="8">
        <v>35</v>
      </c>
      <c r="K19" s="8">
        <f t="shared" si="0"/>
        <v>259326.260770857</v>
      </c>
    </row>
    <row r="20" spans="2:11">
      <c r="B20" s="6" t="s">
        <v>25</v>
      </c>
      <c r="C20" s="7"/>
      <c r="D20" s="7"/>
      <c r="E20" s="8">
        <f t="shared" si="1"/>
        <v>923580.87302</v>
      </c>
      <c r="F20" s="8">
        <v>76143</v>
      </c>
      <c r="G20" s="8">
        <v>3954373</v>
      </c>
      <c r="H20" s="8"/>
      <c r="I20" s="9"/>
      <c r="J20" s="8">
        <v>34</v>
      </c>
      <c r="K20" s="8">
        <f t="shared" si="0"/>
        <v>266953.503734706</v>
      </c>
    </row>
    <row r="21" spans="2:11">
      <c r="B21" s="6" t="s">
        <v>26</v>
      </c>
      <c r="C21" s="7"/>
      <c r="D21" s="7"/>
      <c r="E21" s="8">
        <f t="shared" si="1"/>
        <v>923580.87302</v>
      </c>
      <c r="F21" s="8">
        <v>82031</v>
      </c>
      <c r="G21" s="8">
        <v>4036404</v>
      </c>
      <c r="H21" s="8"/>
      <c r="I21" s="9"/>
      <c r="J21" s="8">
        <v>33</v>
      </c>
      <c r="K21" s="8">
        <f t="shared" si="0"/>
        <v>275043.003847879</v>
      </c>
    </row>
    <row r="22" spans="2:11">
      <c r="B22" s="6" t="s">
        <v>27</v>
      </c>
      <c r="C22" s="7"/>
      <c r="D22" s="7"/>
      <c r="E22" s="8">
        <f t="shared" si="1"/>
        <v>923580.87302</v>
      </c>
      <c r="F22" s="8">
        <v>176729</v>
      </c>
      <c r="G22" s="8">
        <v>4213133</v>
      </c>
      <c r="H22" s="8"/>
      <c r="I22" s="9"/>
      <c r="J22" s="8">
        <v>32</v>
      </c>
      <c r="K22" s="8">
        <f t="shared" si="0"/>
        <v>283638.097718125</v>
      </c>
    </row>
    <row r="23" spans="2:11">
      <c r="B23" s="6" t="s">
        <v>28</v>
      </c>
      <c r="C23" s="7"/>
      <c r="D23" s="7"/>
      <c r="E23" s="8">
        <f t="shared" si="1"/>
        <v>923580.87302</v>
      </c>
      <c r="F23" s="8">
        <v>112134</v>
      </c>
      <c r="G23" s="8">
        <v>4325267</v>
      </c>
      <c r="H23" s="8"/>
      <c r="I23" s="9"/>
      <c r="J23" s="8">
        <v>31</v>
      </c>
      <c r="K23" s="8">
        <f t="shared" si="0"/>
        <v>292787.713773548</v>
      </c>
    </row>
    <row r="24" spans="2:11">
      <c r="B24" s="6" t="s">
        <v>29</v>
      </c>
      <c r="C24" s="7"/>
      <c r="D24" s="7"/>
      <c r="E24" s="8">
        <f t="shared" si="1"/>
        <v>923580.87302</v>
      </c>
      <c r="F24" s="8">
        <v>119438</v>
      </c>
      <c r="G24" s="8">
        <v>4444705</v>
      </c>
      <c r="H24" s="8"/>
      <c r="I24" s="9"/>
      <c r="J24" s="8">
        <v>30</v>
      </c>
      <c r="K24" s="8">
        <f t="shared" si="0"/>
        <v>302547.304232667</v>
      </c>
    </row>
    <row r="25" spans="2:11">
      <c r="B25" s="6" t="s">
        <v>30</v>
      </c>
      <c r="C25" s="7"/>
      <c r="D25" s="7"/>
      <c r="E25" s="8">
        <f t="shared" si="1"/>
        <v>923580.87302</v>
      </c>
      <c r="F25" s="8">
        <v>254698</v>
      </c>
      <c r="G25" s="8">
        <v>4699403</v>
      </c>
      <c r="H25" s="8"/>
      <c r="I25" s="9"/>
      <c r="J25" s="8">
        <v>29</v>
      </c>
      <c r="K25" s="8">
        <f t="shared" si="0"/>
        <v>312979.969895862</v>
      </c>
    </row>
    <row r="26" spans="2:11">
      <c r="B26" s="6" t="s">
        <v>31</v>
      </c>
      <c r="C26" s="7"/>
      <c r="D26" s="7"/>
      <c r="E26" s="8">
        <f t="shared" si="1"/>
        <v>923580.87302</v>
      </c>
      <c r="F26" s="8">
        <v>218033</v>
      </c>
      <c r="G26" s="8">
        <v>4917436</v>
      </c>
      <c r="H26" s="8"/>
      <c r="I26" s="9"/>
      <c r="J26" s="8">
        <v>28</v>
      </c>
      <c r="K26" s="8">
        <f t="shared" si="0"/>
        <v>324157.825963571</v>
      </c>
    </row>
    <row r="27" spans="2:11">
      <c r="B27" s="6" t="s">
        <v>32</v>
      </c>
      <c r="C27" s="7"/>
      <c r="D27" s="7"/>
      <c r="E27" s="8">
        <f t="shared" si="1"/>
        <v>923580.87302</v>
      </c>
      <c r="F27" s="8">
        <v>248788</v>
      </c>
      <c r="G27" s="8">
        <v>5166224</v>
      </c>
      <c r="H27" s="8"/>
      <c r="I27" s="9"/>
      <c r="J27" s="8">
        <v>27</v>
      </c>
      <c r="K27" s="8">
        <f t="shared" si="0"/>
        <v>336163.67136963</v>
      </c>
    </row>
    <row r="28" spans="2:11">
      <c r="B28" s="6" t="s">
        <v>33</v>
      </c>
      <c r="C28" s="7"/>
      <c r="D28" s="7"/>
      <c r="E28" s="8">
        <f t="shared" si="1"/>
        <v>923580.87302</v>
      </c>
      <c r="F28" s="8">
        <v>325148</v>
      </c>
      <c r="G28" s="8">
        <v>5491372</v>
      </c>
      <c r="H28" s="8"/>
      <c r="I28" s="9"/>
      <c r="J28" s="8">
        <v>26</v>
      </c>
      <c r="K28" s="8">
        <f t="shared" si="0"/>
        <v>349093.043345385</v>
      </c>
    </row>
    <row r="29" spans="2:11">
      <c r="B29" s="6" t="s">
        <v>34</v>
      </c>
      <c r="C29" s="7"/>
      <c r="D29" s="7"/>
      <c r="E29" s="8">
        <f t="shared" si="1"/>
        <v>923580.87302</v>
      </c>
      <c r="F29" s="8">
        <v>195769</v>
      </c>
      <c r="G29" s="8">
        <v>5687141</v>
      </c>
      <c r="H29" s="8"/>
      <c r="I29" s="9"/>
      <c r="J29" s="8">
        <v>25</v>
      </c>
      <c r="K29" s="8">
        <f t="shared" si="0"/>
        <v>363056.7650792</v>
      </c>
    </row>
    <row r="30" spans="2:11">
      <c r="B30" s="6" t="s">
        <v>35</v>
      </c>
      <c r="C30" s="7"/>
      <c r="D30" s="7"/>
      <c r="E30" s="8">
        <f t="shared" si="1"/>
        <v>923580.87302</v>
      </c>
      <c r="F30" s="8">
        <v>84239</v>
      </c>
      <c r="G30" s="8">
        <v>5771380</v>
      </c>
      <c r="H30" s="8"/>
      <c r="I30" s="9"/>
      <c r="J30" s="8">
        <v>24</v>
      </c>
      <c r="K30" s="8">
        <f t="shared" si="0"/>
        <v>378184.130290833</v>
      </c>
    </row>
    <row r="31" spans="2:11">
      <c r="B31" s="6" t="s">
        <v>36</v>
      </c>
      <c r="C31" s="7"/>
      <c r="D31" s="7"/>
      <c r="E31" s="8">
        <f t="shared" si="1"/>
        <v>923580.87302</v>
      </c>
      <c r="F31" s="8">
        <v>156130</v>
      </c>
      <c r="G31" s="8">
        <v>5927510</v>
      </c>
      <c r="H31" s="8"/>
      <c r="I31" s="9"/>
      <c r="J31" s="8">
        <v>23</v>
      </c>
      <c r="K31" s="8">
        <f t="shared" si="0"/>
        <v>394626.918564348</v>
      </c>
    </row>
    <row r="32" spans="2:11">
      <c r="B32" s="6" t="s">
        <v>37</v>
      </c>
      <c r="C32" s="7"/>
      <c r="D32" s="7"/>
      <c r="E32" s="8">
        <f t="shared" si="1"/>
        <v>923580.87302</v>
      </c>
      <c r="F32" s="8">
        <v>165493</v>
      </c>
      <c r="G32" s="8">
        <v>6093003</v>
      </c>
      <c r="H32" s="8"/>
      <c r="I32" s="9"/>
      <c r="J32" s="8">
        <v>22</v>
      </c>
      <c r="K32" s="8">
        <f t="shared" si="0"/>
        <v>412564.505771818</v>
      </c>
    </row>
    <row r="33" spans="2:11">
      <c r="B33" s="6" t="s">
        <v>38</v>
      </c>
      <c r="C33" s="7"/>
      <c r="D33" s="7"/>
      <c r="E33" s="8">
        <f t="shared" si="1"/>
        <v>923580.87302</v>
      </c>
      <c r="F33" s="8">
        <v>251658</v>
      </c>
      <c r="G33" s="8">
        <v>6344661</v>
      </c>
      <c r="H33" s="8"/>
      <c r="I33" s="9"/>
      <c r="J33" s="8">
        <v>21</v>
      </c>
      <c r="K33" s="8">
        <f t="shared" si="0"/>
        <v>432210.434618095</v>
      </c>
    </row>
    <row r="34" spans="2:11">
      <c r="B34" s="6" t="s">
        <v>39</v>
      </c>
      <c r="C34" s="7"/>
      <c r="D34" s="7"/>
      <c r="E34" s="8">
        <f t="shared" si="1"/>
        <v>923580.87302</v>
      </c>
      <c r="F34" s="8">
        <v>68501</v>
      </c>
      <c r="G34" s="8">
        <v>6413162</v>
      </c>
      <c r="H34" s="8"/>
      <c r="I34" s="9"/>
      <c r="J34" s="8">
        <v>20</v>
      </c>
      <c r="K34" s="8">
        <f t="shared" si="0"/>
        <v>453820.956349</v>
      </c>
    </row>
    <row r="35" spans="2:11">
      <c r="B35" s="6" t="s">
        <v>40</v>
      </c>
      <c r="C35" s="7"/>
      <c r="D35" s="7"/>
      <c r="E35" s="8">
        <f t="shared" si="1"/>
        <v>923580.87302</v>
      </c>
      <c r="F35" s="8">
        <v>154553</v>
      </c>
      <c r="G35" s="8">
        <v>6567715</v>
      </c>
      <c r="H35" s="8"/>
      <c r="I35" s="9"/>
      <c r="J35" s="8">
        <v>19</v>
      </c>
      <c r="K35" s="8"/>
    </row>
    <row r="36" spans="2:11">
      <c r="B36" s="6" t="s">
        <v>41</v>
      </c>
      <c r="C36" s="7"/>
      <c r="D36" s="7"/>
      <c r="E36" s="8">
        <f t="shared" si="1"/>
        <v>923580.87302</v>
      </c>
      <c r="F36" s="8">
        <v>180517</v>
      </c>
      <c r="G36" s="8">
        <v>6748232</v>
      </c>
      <c r="H36" s="8"/>
      <c r="I36" s="9"/>
      <c r="J36" s="8">
        <v>18</v>
      </c>
      <c r="K36" s="8"/>
    </row>
    <row r="37" spans="2:11">
      <c r="B37" s="6" t="s">
        <v>42</v>
      </c>
      <c r="C37" s="7"/>
      <c r="D37" s="7"/>
      <c r="E37" s="8">
        <f t="shared" si="1"/>
        <v>923580.87302</v>
      </c>
      <c r="F37" s="8">
        <v>67645</v>
      </c>
      <c r="G37" s="8">
        <v>6815877</v>
      </c>
      <c r="H37" s="8"/>
      <c r="I37" s="9"/>
      <c r="J37" s="8">
        <v>17</v>
      </c>
      <c r="K37" s="8"/>
    </row>
    <row r="38" spans="2:11">
      <c r="B38" s="6" t="s">
        <v>43</v>
      </c>
      <c r="C38" s="7"/>
      <c r="D38" s="7"/>
      <c r="E38" s="8">
        <f t="shared" si="1"/>
        <v>923580.87302</v>
      </c>
      <c r="F38" s="8">
        <v>300234</v>
      </c>
      <c r="G38" s="8">
        <v>7116111</v>
      </c>
      <c r="H38" s="8"/>
      <c r="I38" s="9"/>
      <c r="J38" s="8">
        <v>16</v>
      </c>
      <c r="K38" s="8"/>
    </row>
    <row r="39" spans="2:11">
      <c r="B39" s="6" t="s">
        <v>44</v>
      </c>
      <c r="C39" s="7"/>
      <c r="D39" s="7"/>
      <c r="E39" s="8">
        <f t="shared" si="1"/>
        <v>923580.87302</v>
      </c>
      <c r="F39" s="8">
        <v>244991</v>
      </c>
      <c r="G39" s="8">
        <v>7361102</v>
      </c>
      <c r="H39" s="8"/>
      <c r="I39" s="9"/>
      <c r="J39" s="8">
        <v>15</v>
      </c>
      <c r="K39" s="8"/>
    </row>
    <row r="40" spans="2:11">
      <c r="B40" s="6" t="s">
        <v>45</v>
      </c>
      <c r="C40" s="7"/>
      <c r="D40" s="7"/>
      <c r="E40" s="8">
        <f t="shared" si="1"/>
        <v>923580.87302</v>
      </c>
      <c r="F40" s="8">
        <v>177852</v>
      </c>
      <c r="G40" s="8">
        <v>7538954</v>
      </c>
      <c r="H40" s="8"/>
      <c r="I40" s="9"/>
      <c r="J40" s="8">
        <v>14</v>
      </c>
      <c r="K40" s="8"/>
    </row>
    <row r="41" spans="2:11">
      <c r="B41" s="6" t="s">
        <v>46</v>
      </c>
      <c r="C41" s="7"/>
      <c r="D41" s="7"/>
      <c r="E41" s="8">
        <f t="shared" si="1"/>
        <v>923580.87302</v>
      </c>
      <c r="F41" s="8">
        <v>92895</v>
      </c>
      <c r="G41" s="8">
        <v>7631849</v>
      </c>
      <c r="I41" s="9"/>
      <c r="J41" s="8">
        <v>13</v>
      </c>
      <c r="K41" s="8"/>
    </row>
    <row r="42" spans="2:11">
      <c r="B42" s="6" t="s">
        <v>47</v>
      </c>
      <c r="C42" s="7"/>
      <c r="D42" s="7"/>
      <c r="E42" s="8">
        <f t="shared" si="1"/>
        <v>923580.87302</v>
      </c>
      <c r="F42" s="8">
        <v>20018</v>
      </c>
      <c r="G42" s="8">
        <v>7651867</v>
      </c>
      <c r="H42" s="8"/>
      <c r="I42" s="9"/>
      <c r="J42" s="8">
        <v>12</v>
      </c>
      <c r="K42" s="8"/>
    </row>
    <row r="43" spans="2:11">
      <c r="B43" s="6" t="s">
        <v>48</v>
      </c>
      <c r="C43" s="7"/>
      <c r="D43" s="7"/>
      <c r="E43" s="8">
        <f t="shared" si="1"/>
        <v>923580.87302</v>
      </c>
      <c r="F43" s="8">
        <v>74795.43</v>
      </c>
      <c r="G43" s="8">
        <v>7726662.43</v>
      </c>
      <c r="H43" s="8"/>
      <c r="I43" s="9"/>
      <c r="J43" s="8">
        <v>11</v>
      </c>
      <c r="K43" s="8"/>
    </row>
    <row r="44" spans="2:11">
      <c r="B44" s="6" t="s">
        <v>49</v>
      </c>
      <c r="C44" s="7"/>
      <c r="D44" s="7"/>
      <c r="E44" s="8">
        <f t="shared" si="1"/>
        <v>923580.87302</v>
      </c>
      <c r="F44" s="8">
        <v>109569.64</v>
      </c>
      <c r="G44" s="8">
        <v>7836232.07</v>
      </c>
      <c r="H44" s="8"/>
      <c r="I44" s="9"/>
      <c r="J44" s="8">
        <v>10</v>
      </c>
      <c r="K44" s="8"/>
    </row>
    <row r="45" spans="2:11">
      <c r="B45" s="6" t="s">
        <v>50</v>
      </c>
      <c r="C45" s="7"/>
      <c r="D45" s="7"/>
      <c r="E45" s="8">
        <f t="shared" si="1"/>
        <v>923580.87302</v>
      </c>
      <c r="F45" s="8">
        <v>88882</v>
      </c>
      <c r="G45" s="8">
        <v>7925114.07</v>
      </c>
      <c r="H45" s="8"/>
      <c r="I45" s="9"/>
      <c r="J45" s="8">
        <v>9</v>
      </c>
      <c r="K45" s="8"/>
    </row>
    <row r="46" spans="2:11">
      <c r="B46" s="6" t="s">
        <v>51</v>
      </c>
      <c r="C46" s="7"/>
      <c r="D46" s="7"/>
      <c r="E46" s="8">
        <f t="shared" si="1"/>
        <v>923580.87302</v>
      </c>
      <c r="F46" s="8">
        <v>57137.23</v>
      </c>
      <c r="G46" s="8">
        <v>7982251.3</v>
      </c>
      <c r="H46" s="8"/>
      <c r="I46" s="9"/>
      <c r="J46" s="8">
        <v>8</v>
      </c>
      <c r="K46" s="8"/>
    </row>
    <row r="47" spans="2:11">
      <c r="B47" s="6" t="s">
        <v>52</v>
      </c>
      <c r="C47" s="7"/>
      <c r="D47" s="7"/>
      <c r="E47" s="8">
        <f t="shared" si="1"/>
        <v>923580.87302</v>
      </c>
      <c r="F47" s="8">
        <v>29438.97</v>
      </c>
      <c r="G47" s="8">
        <v>8011690.27</v>
      </c>
      <c r="H47" s="8"/>
      <c r="I47" s="9"/>
      <c r="J47" s="8">
        <v>7</v>
      </c>
      <c r="K47" s="8"/>
    </row>
    <row r="48" spans="2:11">
      <c r="B48" s="6" t="s">
        <v>53</v>
      </c>
      <c r="C48" s="7"/>
      <c r="D48" s="7"/>
      <c r="E48" s="8">
        <f t="shared" si="1"/>
        <v>923580.87302</v>
      </c>
      <c r="F48" s="8">
        <v>71533</v>
      </c>
      <c r="G48" s="7">
        <v>8083223.27</v>
      </c>
      <c r="H48" s="8"/>
      <c r="I48" s="9"/>
      <c r="J48" s="8">
        <v>6</v>
      </c>
      <c r="K48" s="8"/>
    </row>
    <row r="49" spans="2:11">
      <c r="B49" s="6" t="s">
        <v>54</v>
      </c>
      <c r="C49" s="7"/>
      <c r="D49" s="7"/>
      <c r="E49" s="8">
        <f t="shared" si="1"/>
        <v>923580.87302</v>
      </c>
      <c r="F49" s="8">
        <v>72869</v>
      </c>
      <c r="G49" s="7">
        <v>8156092.27</v>
      </c>
      <c r="H49" s="8"/>
      <c r="I49" s="9"/>
      <c r="J49" s="8">
        <v>5</v>
      </c>
      <c r="K49" s="8"/>
    </row>
    <row r="50" spans="2:11">
      <c r="B50" s="6" t="s">
        <v>55</v>
      </c>
      <c r="C50" s="7"/>
      <c r="D50" s="7"/>
      <c r="E50" s="8">
        <f t="shared" si="1"/>
        <v>923580.87302</v>
      </c>
      <c r="F50" s="8">
        <v>133524</v>
      </c>
      <c r="G50" s="7">
        <v>8289616.27</v>
      </c>
      <c r="H50" s="8"/>
      <c r="I50" s="9"/>
      <c r="J50" s="8">
        <v>4</v>
      </c>
      <c r="K50" s="8"/>
    </row>
    <row r="51" spans="2:11">
      <c r="B51" s="6" t="s">
        <v>56</v>
      </c>
      <c r="C51" s="7"/>
      <c r="D51" s="7"/>
      <c r="E51" s="8">
        <f t="shared" si="1"/>
        <v>923580.87302</v>
      </c>
      <c r="F51" s="8">
        <v>82616.3</v>
      </c>
      <c r="G51" s="7">
        <v>8372232.57</v>
      </c>
      <c r="H51" s="8"/>
      <c r="I51" s="9"/>
      <c r="J51" s="8">
        <v>3</v>
      </c>
      <c r="K51" s="8"/>
    </row>
    <row r="52" spans="2:11">
      <c r="B52" s="6" t="s">
        <v>57</v>
      </c>
      <c r="C52" s="7"/>
      <c r="D52" s="7"/>
      <c r="E52" s="8">
        <f t="shared" si="1"/>
        <v>923580.87302</v>
      </c>
      <c r="F52" s="8">
        <v>198522.38</v>
      </c>
      <c r="G52" s="7">
        <v>8570754.95</v>
      </c>
      <c r="H52" s="8"/>
      <c r="I52" s="9"/>
      <c r="J52" s="8">
        <v>2</v>
      </c>
      <c r="K52" s="8"/>
    </row>
    <row r="53" spans="2:11">
      <c r="B53" s="6" t="s">
        <v>58</v>
      </c>
      <c r="C53" s="7"/>
      <c r="D53" s="7"/>
      <c r="E53" s="8">
        <f t="shared" si="1"/>
        <v>923580.87302</v>
      </c>
      <c r="F53" s="8">
        <v>201928.51</v>
      </c>
      <c r="G53" s="7">
        <v>8772683.46</v>
      </c>
      <c r="H53" s="8"/>
      <c r="I53" s="9"/>
      <c r="J53" s="8">
        <v>1</v>
      </c>
      <c r="K53" s="8"/>
    </row>
    <row r="54" spans="2:16">
      <c r="B54" s="6" t="s">
        <v>59</v>
      </c>
      <c r="C54" s="7">
        <f>SUM(C2:C53)</f>
        <v>255671.95302</v>
      </c>
      <c r="D54" s="7">
        <f>SUM(D2:D53)</f>
        <v>667908.92</v>
      </c>
      <c r="E54" s="8"/>
      <c r="F54" s="8"/>
      <c r="G54" s="8"/>
      <c r="H54" s="2">
        <f>C54+D54+H50</f>
        <v>923580.87302</v>
      </c>
      <c r="J54" s="8"/>
      <c r="P54">
        <v>8482251.3</v>
      </c>
    </row>
    <row r="56" spans="3:8">
      <c r="C56" s="1" t="s">
        <v>1</v>
      </c>
      <c r="D56" s="1" t="s">
        <v>2</v>
      </c>
      <c r="H56" s="2" t="s">
        <v>59</v>
      </c>
    </row>
    <row r="60" spans="2:4">
      <c r="B60" t="s">
        <v>63</v>
      </c>
      <c r="D60" s="1">
        <v>10000000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Yanfeng Automotive Trim Systems Co., Ltd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Cao,Liang (Leon,Shanghai,CN)</dc:creator>
  <cp:lastModifiedBy>uxuxs004</cp:lastModifiedBy>
  <dcterms:created xsi:type="dcterms:W3CDTF">2025-10-13T04:49:00Z</dcterms:created>
  <dcterms:modified xsi:type="dcterms:W3CDTF">2026-04-16T02:24:36Z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E90DDF4763BC41E699D195A07123226E_12</vt:lpwstr>
  </property>
  <property fmtid="{D5CDD505-2E9C-101B-9397-08002B2CF9AE}" pid="3" name="KSOProductBuildVer">
    <vt:lpwstr>3076-12.2.0.22549</vt:lpwstr>
  </property>
</Properties>
</file>